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cireland-my.sharepoint.com/personal/ccuestamarti_ucc_ie/Documents/APC/BINC/Results/SCFAs/"/>
    </mc:Choice>
  </mc:AlternateContent>
  <xr:revisionPtr revIDLastSave="0" documentId="8_{F09018F8-ACE9-4AE6-85E8-DFFC268CD2EF}" xr6:coauthVersionLast="47" xr6:coauthVersionMax="47" xr10:uidLastSave="{00000000-0000-0000-0000-000000000000}"/>
  <bookViews>
    <workbookView xWindow="-120" yWindow="-120" windowWidth="29040" windowHeight="15720" xr2:uid="{8A459655-F0BF-442B-B58C-4A031B8FBAA5}"/>
  </bookViews>
  <sheets>
    <sheet name="Wk5" sheetId="2" r:id="rId1"/>
    <sheet name="Wk12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1" i="2" l="1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V101" i="1" l="1"/>
  <c r="V100" i="1"/>
  <c r="V99" i="1"/>
  <c r="V98" i="1"/>
  <c r="V97" i="1"/>
  <c r="V95" i="1"/>
  <c r="V94" i="1"/>
  <c r="V93" i="1"/>
  <c r="V92" i="1"/>
  <c r="V91" i="1"/>
  <c r="U90" i="1"/>
  <c r="V96" i="1" s="1"/>
  <c r="S90" i="1"/>
  <c r="T90" i="1" s="1"/>
  <c r="V89" i="1"/>
  <c r="V88" i="1"/>
  <c r="V84" i="1"/>
  <c r="V83" i="1"/>
  <c r="V82" i="1"/>
  <c r="V78" i="1"/>
  <c r="V77" i="1"/>
  <c r="V76" i="1"/>
  <c r="U76" i="1"/>
  <c r="V87" i="1" s="1"/>
  <c r="S76" i="1"/>
  <c r="T89" i="1" s="1"/>
  <c r="V73" i="1"/>
  <c r="V67" i="1"/>
  <c r="V66" i="1"/>
  <c r="U64" i="1"/>
  <c r="V72" i="1" s="1"/>
  <c r="S64" i="1"/>
  <c r="T72" i="1" s="1"/>
  <c r="V62" i="1"/>
  <c r="V61" i="1"/>
  <c r="V60" i="1"/>
  <c r="V56" i="1"/>
  <c r="V55" i="1"/>
  <c r="V54" i="1"/>
  <c r="U52" i="1"/>
  <c r="V59" i="1" s="1"/>
  <c r="S52" i="1"/>
  <c r="T61" i="1" s="1"/>
  <c r="V51" i="1"/>
  <c r="V50" i="1"/>
  <c r="V49" i="1"/>
  <c r="V45" i="1"/>
  <c r="V44" i="1"/>
  <c r="V43" i="1"/>
  <c r="V39" i="1"/>
  <c r="V38" i="1"/>
  <c r="U38" i="1"/>
  <c r="V48" i="1" s="1"/>
  <c r="S38" i="1"/>
  <c r="T50" i="1" s="1"/>
  <c r="V34" i="1"/>
  <c r="V33" i="1"/>
  <c r="V28" i="1"/>
  <c r="V27" i="1"/>
  <c r="U26" i="1"/>
  <c r="V32" i="1" s="1"/>
  <c r="S26" i="1"/>
  <c r="T33" i="1" s="1"/>
  <c r="U14" i="1"/>
  <c r="V21" i="1" s="1"/>
  <c r="S14" i="1"/>
  <c r="T22" i="1" s="1"/>
  <c r="V12" i="1"/>
  <c r="V11" i="1"/>
  <c r="V6" i="1"/>
  <c r="V5" i="1"/>
  <c r="U2" i="1"/>
  <c r="V10" i="1" s="1"/>
  <c r="S2" i="1"/>
  <c r="T11" i="1" s="1"/>
  <c r="T57" i="1" l="1"/>
  <c r="T63" i="1"/>
  <c r="T68" i="1"/>
  <c r="T74" i="1"/>
  <c r="T79" i="1"/>
  <c r="T85" i="1"/>
  <c r="T96" i="1"/>
  <c r="T7" i="1"/>
  <c r="T13" i="1"/>
  <c r="T18" i="1"/>
  <c r="T24" i="1"/>
  <c r="T29" i="1"/>
  <c r="T35" i="1"/>
  <c r="T40" i="1"/>
  <c r="T46" i="1"/>
  <c r="T2" i="1"/>
  <c r="V7" i="1"/>
  <c r="V13" i="1"/>
  <c r="V18" i="1"/>
  <c r="V24" i="1"/>
  <c r="V29" i="1"/>
  <c r="V35" i="1"/>
  <c r="V40" i="1"/>
  <c r="V46" i="1"/>
  <c r="T52" i="1"/>
  <c r="V57" i="1"/>
  <c r="V63" i="1"/>
  <c r="V68" i="1"/>
  <c r="V74" i="1"/>
  <c r="V79" i="1"/>
  <c r="V85" i="1"/>
  <c r="V90" i="1"/>
  <c r="T69" i="1"/>
  <c r="T75" i="1"/>
  <c r="T80" i="1"/>
  <c r="T86" i="1"/>
  <c r="T91" i="1"/>
  <c r="T97" i="1"/>
  <c r="T19" i="1"/>
  <c r="T25" i="1"/>
  <c r="T30" i="1"/>
  <c r="T36" i="1"/>
  <c r="T41" i="1"/>
  <c r="T47" i="1"/>
  <c r="T58" i="1"/>
  <c r="V2" i="1"/>
  <c r="V8" i="1"/>
  <c r="T14" i="1"/>
  <c r="V19" i="1"/>
  <c r="V25" i="1"/>
  <c r="V30" i="1"/>
  <c r="V36" i="1"/>
  <c r="V41" i="1"/>
  <c r="V47" i="1"/>
  <c r="V52" i="1"/>
  <c r="V58" i="1"/>
  <c r="T64" i="1"/>
  <c r="V69" i="1"/>
  <c r="V75" i="1"/>
  <c r="V80" i="1"/>
  <c r="V86" i="1"/>
  <c r="T81" i="1"/>
  <c r="T87" i="1"/>
  <c r="T92" i="1"/>
  <c r="T98" i="1"/>
  <c r="V16" i="1"/>
  <c r="V22" i="1"/>
  <c r="T6" i="1"/>
  <c r="T12" i="1"/>
  <c r="T17" i="1"/>
  <c r="T23" i="1"/>
  <c r="T28" i="1"/>
  <c r="T34" i="1"/>
  <c r="T39" i="1"/>
  <c r="T45" i="1"/>
  <c r="T51" i="1"/>
  <c r="T56" i="1"/>
  <c r="T62" i="1"/>
  <c r="T67" i="1"/>
  <c r="T73" i="1"/>
  <c r="T78" i="1"/>
  <c r="T84" i="1"/>
  <c r="V17" i="1"/>
  <c r="V23" i="1"/>
  <c r="T8" i="1"/>
  <c r="T3" i="1"/>
  <c r="T9" i="1"/>
  <c r="T70" i="1"/>
  <c r="V3" i="1"/>
  <c r="V9" i="1"/>
  <c r="V14" i="1"/>
  <c r="V20" i="1"/>
  <c r="T26" i="1"/>
  <c r="V31" i="1"/>
  <c r="V37" i="1"/>
  <c r="V42" i="1"/>
  <c r="V53" i="1"/>
  <c r="V64" i="1"/>
  <c r="V70" i="1"/>
  <c r="T76" i="1"/>
  <c r="V81" i="1"/>
  <c r="T43" i="1"/>
  <c r="T49" i="1"/>
  <c r="T54" i="1"/>
  <c r="T60" i="1"/>
  <c r="T65" i="1"/>
  <c r="T71" i="1"/>
  <c r="T82" i="1"/>
  <c r="T88" i="1"/>
  <c r="T93" i="1"/>
  <c r="T99" i="1"/>
  <c r="T20" i="1"/>
  <c r="T31" i="1"/>
  <c r="T37" i="1"/>
  <c r="T42" i="1"/>
  <c r="T48" i="1"/>
  <c r="T53" i="1"/>
  <c r="T59" i="1"/>
  <c r="T4" i="1"/>
  <c r="T10" i="1"/>
  <c r="T15" i="1"/>
  <c r="T21" i="1"/>
  <c r="T32" i="1"/>
  <c r="V4" i="1"/>
  <c r="V15" i="1"/>
  <c r="V26" i="1"/>
  <c r="T38" i="1"/>
  <c r="V65" i="1"/>
  <c r="V71" i="1"/>
  <c r="T5" i="1"/>
  <c r="T16" i="1"/>
  <c r="T27" i="1"/>
  <c r="T44" i="1"/>
  <c r="T55" i="1"/>
  <c r="T66" i="1"/>
  <c r="T77" i="1"/>
  <c r="T83" i="1"/>
  <c r="T94" i="1"/>
  <c r="T100" i="1"/>
  <c r="T95" i="1"/>
  <c r="T101" i="1"/>
</calcChain>
</file>

<file path=xl/sharedStrings.xml><?xml version="1.0" encoding="utf-8"?>
<sst xmlns="http://schemas.openxmlformats.org/spreadsheetml/2006/main" count="1899" uniqueCount="341">
  <si>
    <t>Sample</t>
  </si>
  <si>
    <t>sample</t>
  </si>
  <si>
    <t>age</t>
  </si>
  <si>
    <t>timepoint</t>
  </si>
  <si>
    <t>sex</t>
  </si>
  <si>
    <t>dam_cage</t>
  </si>
  <si>
    <t>cohort</t>
  </si>
  <si>
    <t>diet</t>
  </si>
  <si>
    <t>treatment</t>
  </si>
  <si>
    <t>legend</t>
  </si>
  <si>
    <t>Acetate</t>
  </si>
  <si>
    <t>Propionate</t>
  </si>
  <si>
    <t>IsoButyrate</t>
  </si>
  <si>
    <t>Butyrate</t>
  </si>
  <si>
    <t>IsoValerate</t>
  </si>
  <si>
    <t>Valerate</t>
  </si>
  <si>
    <t>Total</t>
  </si>
  <si>
    <t>mean</t>
  </si>
  <si>
    <t>difference to mean</t>
  </si>
  <si>
    <t>101 W12 A</t>
  </si>
  <si>
    <t>101 w12</t>
  </si>
  <si>
    <t>pup</t>
  </si>
  <si>
    <t>w12</t>
  </si>
  <si>
    <t>F</t>
  </si>
  <si>
    <t>Control</t>
  </si>
  <si>
    <t>Vehicle</t>
  </si>
  <si>
    <t>Control Vehicle</t>
  </si>
  <si>
    <t>101 W12 B</t>
  </si>
  <si>
    <t>115 W12 A</t>
  </si>
  <si>
    <t>115 w12</t>
  </si>
  <si>
    <t>115 W12 B</t>
  </si>
  <si>
    <t>201 W12 A</t>
  </si>
  <si>
    <t>201 w12</t>
  </si>
  <si>
    <t>201 W12 B</t>
  </si>
  <si>
    <t>208 W12 A</t>
  </si>
  <si>
    <t>208 w12</t>
  </si>
  <si>
    <t>208 W12 B</t>
  </si>
  <si>
    <t>401 W12 A</t>
  </si>
  <si>
    <t>401 w12</t>
  </si>
  <si>
    <t>401 W12 B</t>
  </si>
  <si>
    <t>408 W12 A</t>
  </si>
  <si>
    <t>408 w12</t>
  </si>
  <si>
    <t>408 W12 B</t>
  </si>
  <si>
    <t>211 W12 A</t>
  </si>
  <si>
    <t>211 w12</t>
  </si>
  <si>
    <t>HFHS</t>
  </si>
  <si>
    <t>HFHS Vehicle</t>
  </si>
  <si>
    <t>211 W12 B</t>
  </si>
  <si>
    <t>212 W12 A</t>
  </si>
  <si>
    <t>212 w12</t>
  </si>
  <si>
    <t>212 W12 B</t>
  </si>
  <si>
    <t>302 W12 A</t>
  </si>
  <si>
    <t>302 w12</t>
  </si>
  <si>
    <t>302 W12 B</t>
  </si>
  <si>
    <t>305 W12 A</t>
  </si>
  <si>
    <t>305 w12</t>
  </si>
  <si>
    <t>305 W12 B</t>
  </si>
  <si>
    <t>306 W12 A</t>
  </si>
  <si>
    <t>306 w12</t>
  </si>
  <si>
    <t>306 W12 B</t>
  </si>
  <si>
    <t>420 W12 A</t>
  </si>
  <si>
    <t>420 w12</t>
  </si>
  <si>
    <t>420 W12 B</t>
  </si>
  <si>
    <t>124 W12 A</t>
  </si>
  <si>
    <t>124 w12</t>
  </si>
  <si>
    <t>FOS+GOS</t>
  </si>
  <si>
    <t>HFHS FOS+GOS</t>
  </si>
  <si>
    <t>124 W12 B</t>
  </si>
  <si>
    <t>225 W12 A</t>
  </si>
  <si>
    <t>225 w12</t>
  </si>
  <si>
    <t>225 W12 B</t>
  </si>
  <si>
    <t>231 W12 A</t>
  </si>
  <si>
    <t>231 w12</t>
  </si>
  <si>
    <t>231 W12 B</t>
  </si>
  <si>
    <t>232 W12 A</t>
  </si>
  <si>
    <t>232 w12</t>
  </si>
  <si>
    <t>232 W12 B</t>
  </si>
  <si>
    <t>236 W12 A</t>
  </si>
  <si>
    <t>236 w12</t>
  </si>
  <si>
    <t>236 W12 B</t>
  </si>
  <si>
    <t>238 W12 A</t>
  </si>
  <si>
    <t>238 w12</t>
  </si>
  <si>
    <t>238 W12 B</t>
  </si>
  <si>
    <t>130 W12 B</t>
  </si>
  <si>
    <t>130 w12</t>
  </si>
  <si>
    <t>HFHS B. longum APC1472</t>
  </si>
  <si>
    <t>130 W12 A</t>
  </si>
  <si>
    <t>131 W12 A</t>
  </si>
  <si>
    <t>131 w12</t>
  </si>
  <si>
    <t>131 W12 B</t>
  </si>
  <si>
    <t>135 w12 A</t>
  </si>
  <si>
    <t>135 w12</t>
  </si>
  <si>
    <t>135 W12 B</t>
  </si>
  <si>
    <t>246 W12 A</t>
  </si>
  <si>
    <t>246 w12</t>
  </si>
  <si>
    <t>246 W12 B</t>
  </si>
  <si>
    <t>248 W12 A</t>
  </si>
  <si>
    <t>248 w12</t>
  </si>
  <si>
    <t>248 W12 B</t>
  </si>
  <si>
    <t>435 W12 A</t>
  </si>
  <si>
    <t>435 w12</t>
  </si>
  <si>
    <t>435 W12 B</t>
  </si>
  <si>
    <t>501 W12 A</t>
  </si>
  <si>
    <t>501 w12</t>
  </si>
  <si>
    <t>501 W12 B</t>
  </si>
  <si>
    <t>105 W12 A</t>
  </si>
  <si>
    <t>105 w12</t>
  </si>
  <si>
    <t>M</t>
  </si>
  <si>
    <t>105 W12 B</t>
  </si>
  <si>
    <t>106 W12 A</t>
  </si>
  <si>
    <t>106 w12</t>
  </si>
  <si>
    <t>106 W12 B</t>
  </si>
  <si>
    <t>116 W12 A</t>
  </si>
  <si>
    <t>116 w12</t>
  </si>
  <si>
    <t>116 W12 B</t>
  </si>
  <si>
    <t>209 W12 A</t>
  </si>
  <si>
    <t>209 w12</t>
  </si>
  <si>
    <t>209 W12 B</t>
  </si>
  <si>
    <t>405 W12 A</t>
  </si>
  <si>
    <t>405 w12</t>
  </si>
  <si>
    <t>405 W12 B</t>
  </si>
  <si>
    <t>412 W12 A</t>
  </si>
  <si>
    <t>412 w12</t>
  </si>
  <si>
    <t>412 W12 B</t>
  </si>
  <si>
    <t>110 W12 A</t>
  </si>
  <si>
    <t>110 w12</t>
  </si>
  <si>
    <t>110 W12 B</t>
  </si>
  <si>
    <t>119 W12 A</t>
  </si>
  <si>
    <t>119 w12</t>
  </si>
  <si>
    <t>119 W12 B</t>
  </si>
  <si>
    <t>216 W12 A</t>
  </si>
  <si>
    <t>216 w12</t>
  </si>
  <si>
    <t>216 W12 B</t>
  </si>
  <si>
    <t>219 W12 A</t>
  </si>
  <si>
    <t>219 w12</t>
  </si>
  <si>
    <t>219 W12 B</t>
  </si>
  <si>
    <t>308 W12 A</t>
  </si>
  <si>
    <t>308 w12</t>
  </si>
  <si>
    <t>308 W12 B</t>
  </si>
  <si>
    <t>422 W12 A</t>
  </si>
  <si>
    <t>422 w12</t>
  </si>
  <si>
    <t>422 W12 B</t>
  </si>
  <si>
    <t>126 W12 A</t>
  </si>
  <si>
    <t>126 w12</t>
  </si>
  <si>
    <t>126 W12 B</t>
  </si>
  <si>
    <t>228 W12 A</t>
  </si>
  <si>
    <t>228 w12</t>
  </si>
  <si>
    <t>228 W12 B</t>
  </si>
  <si>
    <t>234 W12 A</t>
  </si>
  <si>
    <t>234 w12</t>
  </si>
  <si>
    <t>234 W12 B</t>
  </si>
  <si>
    <t>241 W12 A</t>
  </si>
  <si>
    <t>241 w12</t>
  </si>
  <si>
    <t>241 W12 B</t>
  </si>
  <si>
    <t>243 W12 A</t>
  </si>
  <si>
    <t>243 w12</t>
  </si>
  <si>
    <t>243 W12 B</t>
  </si>
  <si>
    <t>312 W12 A</t>
  </si>
  <si>
    <t>312 w12</t>
  </si>
  <si>
    <t>312 W12 B</t>
  </si>
  <si>
    <t>315 W12 A</t>
  </si>
  <si>
    <t>315 w12</t>
  </si>
  <si>
    <t>315 W12 B</t>
  </si>
  <si>
    <t>133 W12 A</t>
  </si>
  <si>
    <t>133 w12</t>
  </si>
  <si>
    <t>133 W12 B</t>
  </si>
  <si>
    <t>136 w12 A</t>
  </si>
  <si>
    <t>136 w12</t>
  </si>
  <si>
    <t>136 W12 B</t>
  </si>
  <si>
    <t>250 W12 A</t>
  </si>
  <si>
    <t>250 w12</t>
  </si>
  <si>
    <t>250 W12 B</t>
  </si>
  <si>
    <t>251 W12 A</t>
  </si>
  <si>
    <t>251 w12</t>
  </si>
  <si>
    <t>251 W12 B</t>
  </si>
  <si>
    <t>438 W12 A</t>
  </si>
  <si>
    <t>438 w12</t>
  </si>
  <si>
    <t>438 W12 B</t>
  </si>
  <si>
    <t>507 W12 A</t>
  </si>
  <si>
    <t>507 w12</t>
  </si>
  <si>
    <t>507 W12 B</t>
  </si>
  <si>
    <t>206 w5 a</t>
  </si>
  <si>
    <t>206 w5 b</t>
  </si>
  <si>
    <t>403 w5 a</t>
  </si>
  <si>
    <t>403 w5 b</t>
  </si>
  <si>
    <t>410 w5 a</t>
  </si>
  <si>
    <t>410 w5 b</t>
  </si>
  <si>
    <t>601 w5 a</t>
  </si>
  <si>
    <t>601 w5 b</t>
  </si>
  <si>
    <t>602 w5 a</t>
  </si>
  <si>
    <t>602 w5 b</t>
  </si>
  <si>
    <t>603 w5 a</t>
  </si>
  <si>
    <t>603 w5 b</t>
  </si>
  <si>
    <t>210 w5 a</t>
  </si>
  <si>
    <t>210 w5 b</t>
  </si>
  <si>
    <t>301 w5 a</t>
  </si>
  <si>
    <t>301 w5 b</t>
  </si>
  <si>
    <t>608 w5 a</t>
  </si>
  <si>
    <t>608 w5 b</t>
  </si>
  <si>
    <t>609 w5 a</t>
  </si>
  <si>
    <t>609 w5 b</t>
  </si>
  <si>
    <t>610 w5 a</t>
  </si>
  <si>
    <t>610 w5 b</t>
  </si>
  <si>
    <t>611 w5 a</t>
  </si>
  <si>
    <t>611 w5 b</t>
  </si>
  <si>
    <t>612 w5 a</t>
  </si>
  <si>
    <t>612 w5 b</t>
  </si>
  <si>
    <t>613 w5 a</t>
  </si>
  <si>
    <t>613 w5 b</t>
  </si>
  <si>
    <t>123 w5 a</t>
  </si>
  <si>
    <t>123 w5 b</t>
  </si>
  <si>
    <t>230 w5 a</t>
  </si>
  <si>
    <t>617 w5 a</t>
  </si>
  <si>
    <t>617 w5 b</t>
  </si>
  <si>
    <t>618 w5 a</t>
  </si>
  <si>
    <t>618 w5 b</t>
  </si>
  <si>
    <t>619 w5 a</t>
  </si>
  <si>
    <t>619 w5 b</t>
  </si>
  <si>
    <t>620 w5 a</t>
  </si>
  <si>
    <t>620 w5 b</t>
  </si>
  <si>
    <t>623 w5 a</t>
  </si>
  <si>
    <t>623 w5 b</t>
  </si>
  <si>
    <t>624 w5 a</t>
  </si>
  <si>
    <t>624 w5 b</t>
  </si>
  <si>
    <t>625 w5 a</t>
  </si>
  <si>
    <t>625 w5 b</t>
  </si>
  <si>
    <t>626 w5 a</t>
  </si>
  <si>
    <t>626 w5 b</t>
  </si>
  <si>
    <t>129 w5 a</t>
  </si>
  <si>
    <t>129 w5 b</t>
  </si>
  <si>
    <t>244 w5 a</t>
  </si>
  <si>
    <t>244 w5 b</t>
  </si>
  <si>
    <t>249 w5 a</t>
  </si>
  <si>
    <t>249 w5 b</t>
  </si>
  <si>
    <t>437 w5 a</t>
  </si>
  <si>
    <t>437 w5 b</t>
  </si>
  <si>
    <t>502 w5 a</t>
  </si>
  <si>
    <t>502 w5 b</t>
  </si>
  <si>
    <t>504 w5 a</t>
  </si>
  <si>
    <t>504 w5 b</t>
  </si>
  <si>
    <t>632 w5 a</t>
  </si>
  <si>
    <t>632 w5 b</t>
  </si>
  <si>
    <t>633 w5 a</t>
  </si>
  <si>
    <t>633 w5 b</t>
  </si>
  <si>
    <t>634 w5 a</t>
  </si>
  <si>
    <t>634 w5 b</t>
  </si>
  <si>
    <t>107 w5 a</t>
  </si>
  <si>
    <t>107 w5 b</t>
  </si>
  <si>
    <t>118 w5 a</t>
  </si>
  <si>
    <t>118 w5 b</t>
  </si>
  <si>
    <t>203 w5 a</t>
  </si>
  <si>
    <t>203 w5 b</t>
  </si>
  <si>
    <t>404 w5 a</t>
  </si>
  <si>
    <t>404 w5 b</t>
  </si>
  <si>
    <t>406 w5 a</t>
  </si>
  <si>
    <t>406 w5 b</t>
  </si>
  <si>
    <t>414 w5 a</t>
  </si>
  <si>
    <t>414 w5 b</t>
  </si>
  <si>
    <t>415 w5 a</t>
  </si>
  <si>
    <t>415 w5 b</t>
  </si>
  <si>
    <t>416 w5 a</t>
  </si>
  <si>
    <t>416 w5 b</t>
  </si>
  <si>
    <t>604 w5 a</t>
  </si>
  <si>
    <t>604 w5 b</t>
  </si>
  <si>
    <t>605 w5 a</t>
  </si>
  <si>
    <t>605 w5 b</t>
  </si>
  <si>
    <t>606 w5 a</t>
  </si>
  <si>
    <t>606 w5 b</t>
  </si>
  <si>
    <t>607 w5 a</t>
  </si>
  <si>
    <t>607 w5 b</t>
  </si>
  <si>
    <t>108 w5 a</t>
  </si>
  <si>
    <t>108 w5 b</t>
  </si>
  <si>
    <t>111 w5 a</t>
  </si>
  <si>
    <t>111 w5 b</t>
  </si>
  <si>
    <t>112 w5 a</t>
  </si>
  <si>
    <t>112 w5 b</t>
  </si>
  <si>
    <t>120 w5 a</t>
  </si>
  <si>
    <t>120 w5 b</t>
  </si>
  <si>
    <t>214 w5 a</t>
  </si>
  <si>
    <t>214 w5 b</t>
  </si>
  <si>
    <t>215 w5 a</t>
  </si>
  <si>
    <t>215 w5 b</t>
  </si>
  <si>
    <t>220 w5 a</t>
  </si>
  <si>
    <t>220 w5 b</t>
  </si>
  <si>
    <t>222 w5 a</t>
  </si>
  <si>
    <t>222 w5 b</t>
  </si>
  <si>
    <t>309 w5 a</t>
  </si>
  <si>
    <t>309 w5 b</t>
  </si>
  <si>
    <t>424 w5 a</t>
  </si>
  <si>
    <t>424 w5 b</t>
  </si>
  <si>
    <t>425 w5 a</t>
  </si>
  <si>
    <t>425 w5 b</t>
  </si>
  <si>
    <t>614 w5 a</t>
  </si>
  <si>
    <t>614 w5 b</t>
  </si>
  <si>
    <t>615 w5 a</t>
  </si>
  <si>
    <t>615 w5 b</t>
  </si>
  <si>
    <t>616 w5 a</t>
  </si>
  <si>
    <t>616 w5 b</t>
  </si>
  <si>
    <t>127 w5 a</t>
  </si>
  <si>
    <t>127 w5 b</t>
  </si>
  <si>
    <t>229 w5 a</t>
  </si>
  <si>
    <t>229 w5 b</t>
  </si>
  <si>
    <t>240 w5 a</t>
  </si>
  <si>
    <t>240 w5 b</t>
  </si>
  <si>
    <t>313 w5 a</t>
  </si>
  <si>
    <t>313 w5 b</t>
  </si>
  <si>
    <t>316 w5 a</t>
  </si>
  <si>
    <t>316 w5 b</t>
  </si>
  <si>
    <t>317 w5 a</t>
  </si>
  <si>
    <t>317 w5 b</t>
  </si>
  <si>
    <t>318 w5 a</t>
  </si>
  <si>
    <t>318 w5 b</t>
  </si>
  <si>
    <t>621 w5 a</t>
  </si>
  <si>
    <t>621 w5 b</t>
  </si>
  <si>
    <t>622 w5 a</t>
  </si>
  <si>
    <t>622 w5 b</t>
  </si>
  <si>
    <t>627 w5 a</t>
  </si>
  <si>
    <t>627 w5 b</t>
  </si>
  <si>
    <t>628 w5 a</t>
  </si>
  <si>
    <t>628 w5 b</t>
  </si>
  <si>
    <t>629 w5 a</t>
  </si>
  <si>
    <t>629 w5 b</t>
  </si>
  <si>
    <t>630 w5 a</t>
  </si>
  <si>
    <t>630 w5 b</t>
  </si>
  <si>
    <t>631 w5 a</t>
  </si>
  <si>
    <t>631 w5 b</t>
  </si>
  <si>
    <t>253 w5 a</t>
  </si>
  <si>
    <t>253 w5 b</t>
  </si>
  <si>
    <t>440 w5 a</t>
  </si>
  <si>
    <t>440 w5 b</t>
  </si>
  <si>
    <t>505 w5 a</t>
  </si>
  <si>
    <t>505 w5 b</t>
  </si>
  <si>
    <t>635 w5 a</t>
  </si>
  <si>
    <t>635 w5 b</t>
  </si>
  <si>
    <t>636 w5 a</t>
  </si>
  <si>
    <t>636 w5 b</t>
  </si>
  <si>
    <t>637 w5 a</t>
  </si>
  <si>
    <t>637 w5 b</t>
  </si>
  <si>
    <t>638 w5 a</t>
  </si>
  <si>
    <t>638 w5 b</t>
  </si>
  <si>
    <t>w5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</si>
</sst>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9"/>
        <bgColor indexed="64"/>
      </patternFill>
    </fill>
    <fill>
      <patternFill patternType="solid">
        <fgColor rgb="FFFFBDBD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0" xfId="0" applyFont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  <xf numFmtId="0" fontId="1" fillId="4" borderId="7" xfId="0" applyFont="1" applyFill="1" applyBorder="1"/>
    <xf numFmtId="0" fontId="1" fillId="4" borderId="8" xfId="0" applyFont="1" applyFill="1" applyBorder="1"/>
    <xf numFmtId="0" fontId="1" fillId="4" borderId="9" xfId="0" applyFont="1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/>
    <xf numFmtId="0" fontId="0" fillId="5" borderId="9" xfId="0" applyFill="1" applyBorder="1"/>
    <xf numFmtId="0" fontId="1" fillId="4" borderId="4" xfId="0" applyFont="1" applyFill="1" applyBorder="1"/>
    <xf numFmtId="0" fontId="1" fillId="4" borderId="5" xfId="0" applyFont="1" applyFill="1" applyBorder="1"/>
    <xf numFmtId="0" fontId="1" fillId="4" borderId="6" xfId="0" applyFont="1" applyFill="1" applyBorder="1"/>
    <xf numFmtId="0" fontId="1" fillId="5" borderId="4" xfId="0" applyFont="1" applyFill="1" applyBorder="1"/>
    <xf numFmtId="0" fontId="1" fillId="5" borderId="5" xfId="0" applyFont="1" applyFill="1" applyBorder="1"/>
    <xf numFmtId="0" fontId="1" fillId="5" borderId="6" xfId="0" applyFont="1" applyFill="1" applyBorder="1"/>
    <xf numFmtId="0" fontId="1" fillId="5" borderId="7" xfId="0" applyFont="1" applyFill="1" applyBorder="1"/>
    <xf numFmtId="0" fontId="1" fillId="5" borderId="8" xfId="0" applyFont="1" applyFill="1" applyBorder="1"/>
    <xf numFmtId="0" fontId="1" fillId="5" borderId="9" xfId="0" applyFont="1" applyFill="1" applyBorder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B3E2C-A83E-4272-AE48-DDEF1C6F66C1}">
  <dimension ref="A1:Q161"/>
  <sheetViews>
    <sheetView tabSelected="1" workbookViewId="0">
      <selection activeCell="A148" sqref="A148:Q161"/>
    </sheetView>
  </sheetViews>
  <sheetFormatPr defaultRowHeight="14.4" x14ac:dyDescent="0.3"/>
  <cols>
    <col min="1" max="16" width="8.88671875" style="41"/>
    <col min="17" max="17" width="22.44140625" style="41" bestFit="1" customWidth="1"/>
    <col min="18" max="16384" width="8.88671875" style="41"/>
  </cols>
  <sheetData>
    <row r="1" spans="1:17" x14ac:dyDescent="0.3">
      <c r="A1" s="4" t="s">
        <v>0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16</v>
      </c>
      <c r="I1" s="41" t="s">
        <v>3</v>
      </c>
      <c r="J1" s="41" t="s">
        <v>2</v>
      </c>
      <c r="K1" s="41" t="s">
        <v>1</v>
      </c>
      <c r="L1" s="41" t="s">
        <v>5</v>
      </c>
      <c r="M1" s="41" t="s">
        <v>6</v>
      </c>
      <c r="N1" s="41" t="s">
        <v>4</v>
      </c>
      <c r="O1" s="41" t="s">
        <v>7</v>
      </c>
      <c r="P1" s="41" t="s">
        <v>8</v>
      </c>
      <c r="Q1" s="41" t="s">
        <v>9</v>
      </c>
    </row>
    <row r="2" spans="1:17" x14ac:dyDescent="0.3">
      <c r="A2" s="5" t="s">
        <v>181</v>
      </c>
      <c r="B2" s="6">
        <v>1.665</v>
      </c>
      <c r="C2" s="6">
        <v>0.48</v>
      </c>
      <c r="D2" s="6">
        <v>5.8999999999999997E-2</v>
      </c>
      <c r="E2" s="6">
        <v>0.35199999999999998</v>
      </c>
      <c r="F2" s="6">
        <v>6.3E-2</v>
      </c>
      <c r="G2" s="6">
        <v>0.23100000000000001</v>
      </c>
      <c r="H2" s="6">
        <f>SUM(B2:G2)</f>
        <v>2.85</v>
      </c>
      <c r="I2" s="6" t="s">
        <v>340</v>
      </c>
      <c r="J2" s="6" t="s">
        <v>21</v>
      </c>
      <c r="K2" s="6">
        <v>206</v>
      </c>
      <c r="L2" s="6">
        <v>122</v>
      </c>
      <c r="M2" s="6">
        <v>2</v>
      </c>
      <c r="N2" s="6" t="s">
        <v>23</v>
      </c>
      <c r="O2" s="6" t="s">
        <v>24</v>
      </c>
      <c r="P2" s="6" t="s">
        <v>25</v>
      </c>
      <c r="Q2" s="6" t="s">
        <v>26</v>
      </c>
    </row>
    <row r="3" spans="1:17" ht="15" thickBot="1" x14ac:dyDescent="0.35">
      <c r="A3" s="8" t="s">
        <v>182</v>
      </c>
      <c r="B3" s="9">
        <v>1.845</v>
      </c>
      <c r="C3" s="9">
        <v>0.495</v>
      </c>
      <c r="D3" s="9">
        <v>5.8999999999999997E-2</v>
      </c>
      <c r="E3" s="9">
        <v>0.36</v>
      </c>
      <c r="F3" s="9">
        <v>6.6000000000000003E-2</v>
      </c>
      <c r="G3" s="9">
        <v>0.23100000000000001</v>
      </c>
      <c r="H3" s="9">
        <f>SUM(B3:G3)</f>
        <v>3.0559999999999996</v>
      </c>
      <c r="I3" s="9" t="s">
        <v>340</v>
      </c>
      <c r="J3" s="9" t="s">
        <v>21</v>
      </c>
      <c r="K3" s="9">
        <v>206</v>
      </c>
      <c r="L3" s="9">
        <v>122</v>
      </c>
      <c r="M3" s="9">
        <v>2</v>
      </c>
      <c r="N3" s="9" t="s">
        <v>23</v>
      </c>
      <c r="O3" s="9" t="s">
        <v>24</v>
      </c>
      <c r="P3" s="9" t="s">
        <v>25</v>
      </c>
      <c r="Q3" s="9" t="s">
        <v>26</v>
      </c>
    </row>
    <row r="4" spans="1:17" x14ac:dyDescent="0.3">
      <c r="A4" s="5" t="s">
        <v>183</v>
      </c>
      <c r="B4" s="6">
        <v>1.3340000000000001</v>
      </c>
      <c r="C4" s="6">
        <v>0.372</v>
      </c>
      <c r="D4" s="6">
        <v>4.5999999999999999E-2</v>
      </c>
      <c r="E4" s="6">
        <v>0.28100000000000003</v>
      </c>
      <c r="F4" s="6">
        <v>0.05</v>
      </c>
      <c r="G4" s="6">
        <v>0.219</v>
      </c>
      <c r="H4" s="6">
        <f>SUM(B4:G4)</f>
        <v>2.3019999999999996</v>
      </c>
      <c r="I4" s="6" t="s">
        <v>340</v>
      </c>
      <c r="J4" s="6" t="s">
        <v>21</v>
      </c>
      <c r="K4" s="6">
        <v>403</v>
      </c>
      <c r="L4" s="6">
        <v>129</v>
      </c>
      <c r="M4" s="6">
        <v>4</v>
      </c>
      <c r="N4" s="6" t="s">
        <v>23</v>
      </c>
      <c r="O4" s="6" t="s">
        <v>24</v>
      </c>
      <c r="P4" s="6" t="s">
        <v>25</v>
      </c>
      <c r="Q4" s="6" t="s">
        <v>26</v>
      </c>
    </row>
    <row r="5" spans="1:17" ht="15" thickBot="1" x14ac:dyDescent="0.35">
      <c r="A5" s="8" t="s">
        <v>184</v>
      </c>
      <c r="B5" s="9">
        <v>1.569</v>
      </c>
      <c r="C5" s="9">
        <v>0.38700000000000001</v>
      </c>
      <c r="D5" s="9">
        <v>4.9000000000000002E-2</v>
      </c>
      <c r="E5" s="9">
        <v>0.29099999999999998</v>
      </c>
      <c r="F5" s="9">
        <v>5.5E-2</v>
      </c>
      <c r="G5" s="9">
        <v>0.218</v>
      </c>
      <c r="H5" s="9">
        <f>SUM(B5:G5)</f>
        <v>2.569</v>
      </c>
      <c r="I5" s="9" t="s">
        <v>340</v>
      </c>
      <c r="J5" s="9" t="s">
        <v>21</v>
      </c>
      <c r="K5" s="9">
        <v>403</v>
      </c>
      <c r="L5" s="9">
        <v>129</v>
      </c>
      <c r="M5" s="9">
        <v>4</v>
      </c>
      <c r="N5" s="9" t="s">
        <v>23</v>
      </c>
      <c r="O5" s="9" t="s">
        <v>24</v>
      </c>
      <c r="P5" s="9" t="s">
        <v>25</v>
      </c>
      <c r="Q5" s="9" t="s">
        <v>26</v>
      </c>
    </row>
    <row r="6" spans="1:17" x14ac:dyDescent="0.3">
      <c r="A6" s="5" t="s">
        <v>185</v>
      </c>
      <c r="B6" s="6">
        <v>1.145</v>
      </c>
      <c r="C6" s="6">
        <v>0.33500000000000002</v>
      </c>
      <c r="D6" s="6">
        <v>3.9E-2</v>
      </c>
      <c r="E6" s="6">
        <v>0.32</v>
      </c>
      <c r="F6" s="6">
        <v>4.4999999999999998E-2</v>
      </c>
      <c r="G6" s="6">
        <v>0.221</v>
      </c>
      <c r="H6" s="6">
        <f>SUM(B6:G6)</f>
        <v>2.105</v>
      </c>
      <c r="I6" s="6" t="s">
        <v>340</v>
      </c>
      <c r="J6" s="6" t="s">
        <v>21</v>
      </c>
      <c r="K6" s="6">
        <v>410</v>
      </c>
      <c r="L6" s="6">
        <v>113</v>
      </c>
      <c r="M6" s="6">
        <v>4</v>
      </c>
      <c r="N6" s="6" t="s">
        <v>23</v>
      </c>
      <c r="O6" s="6" t="s">
        <v>24</v>
      </c>
      <c r="P6" s="6" t="s">
        <v>25</v>
      </c>
      <c r="Q6" s="6" t="s">
        <v>26</v>
      </c>
    </row>
    <row r="7" spans="1:17" ht="15" thickBot="1" x14ac:dyDescent="0.35">
      <c r="A7" s="8" t="s">
        <v>186</v>
      </c>
      <c r="B7" s="9">
        <v>1.0760000000000001</v>
      </c>
      <c r="C7" s="9">
        <v>0.32200000000000001</v>
      </c>
      <c r="D7" s="9">
        <v>3.6999999999999998E-2</v>
      </c>
      <c r="E7" s="9">
        <v>0.311</v>
      </c>
      <c r="F7" s="9">
        <v>4.2999999999999997E-2</v>
      </c>
      <c r="G7" s="9">
        <v>0.22</v>
      </c>
      <c r="H7" s="9">
        <f>SUM(B7:G7)</f>
        <v>2.0089999999999999</v>
      </c>
      <c r="I7" s="9" t="s">
        <v>340</v>
      </c>
      <c r="J7" s="9" t="s">
        <v>21</v>
      </c>
      <c r="K7" s="9">
        <v>410</v>
      </c>
      <c r="L7" s="9">
        <v>113</v>
      </c>
      <c r="M7" s="9">
        <v>4</v>
      </c>
      <c r="N7" s="9" t="s">
        <v>23</v>
      </c>
      <c r="O7" s="9" t="s">
        <v>24</v>
      </c>
      <c r="P7" s="9" t="s">
        <v>25</v>
      </c>
      <c r="Q7" s="9" t="s">
        <v>26</v>
      </c>
    </row>
    <row r="8" spans="1:17" x14ac:dyDescent="0.3">
      <c r="A8" s="5" t="s">
        <v>187</v>
      </c>
      <c r="B8" s="6">
        <v>1.466</v>
      </c>
      <c r="C8" s="6">
        <v>0.42399999999999999</v>
      </c>
      <c r="D8" s="6">
        <v>4.7E-2</v>
      </c>
      <c r="E8" s="6">
        <v>0.36499999999999999</v>
      </c>
      <c r="F8" s="6">
        <v>0.06</v>
      </c>
      <c r="G8" s="6">
        <v>0.22700000000000001</v>
      </c>
      <c r="H8" s="6">
        <f>SUM(B8:G8)</f>
        <v>2.5889999999999995</v>
      </c>
      <c r="I8" s="6" t="s">
        <v>340</v>
      </c>
      <c r="J8" s="6" t="s">
        <v>21</v>
      </c>
      <c r="K8" s="6">
        <v>601</v>
      </c>
      <c r="L8" s="6">
        <v>131</v>
      </c>
      <c r="M8" s="6">
        <v>6</v>
      </c>
      <c r="N8" s="6" t="s">
        <v>23</v>
      </c>
      <c r="O8" s="6" t="s">
        <v>24</v>
      </c>
      <c r="P8" s="6" t="s">
        <v>25</v>
      </c>
      <c r="Q8" s="6" t="s">
        <v>26</v>
      </c>
    </row>
    <row r="9" spans="1:17" ht="15" thickBot="1" x14ac:dyDescent="0.35">
      <c r="A9" s="8" t="s">
        <v>188</v>
      </c>
      <c r="B9" s="9">
        <v>1.4630000000000001</v>
      </c>
      <c r="C9" s="9">
        <v>0.434</v>
      </c>
      <c r="D9" s="9">
        <v>4.9000000000000002E-2</v>
      </c>
      <c r="E9" s="9">
        <v>0.36899999999999999</v>
      </c>
      <c r="F9" s="9">
        <v>6.2E-2</v>
      </c>
      <c r="G9" s="9">
        <v>0.22600000000000001</v>
      </c>
      <c r="H9" s="9">
        <f>SUM(B9:G9)</f>
        <v>2.6029999999999998</v>
      </c>
      <c r="I9" s="9" t="s">
        <v>340</v>
      </c>
      <c r="J9" s="9" t="s">
        <v>21</v>
      </c>
      <c r="K9" s="9">
        <v>601</v>
      </c>
      <c r="L9" s="9">
        <v>131</v>
      </c>
      <c r="M9" s="9">
        <v>6</v>
      </c>
      <c r="N9" s="9" t="s">
        <v>23</v>
      </c>
      <c r="O9" s="9" t="s">
        <v>24</v>
      </c>
      <c r="P9" s="9" t="s">
        <v>25</v>
      </c>
      <c r="Q9" s="9" t="s">
        <v>26</v>
      </c>
    </row>
    <row r="10" spans="1:17" x14ac:dyDescent="0.3">
      <c r="A10" s="5" t="s">
        <v>189</v>
      </c>
      <c r="B10" s="6">
        <v>1.5209999999999999</v>
      </c>
      <c r="C10" s="6">
        <v>0.40400000000000003</v>
      </c>
      <c r="D10" s="6">
        <v>5.0999999999999997E-2</v>
      </c>
      <c r="E10" s="6">
        <v>0.34399999999999997</v>
      </c>
      <c r="F10" s="6">
        <v>6.8000000000000005E-2</v>
      </c>
      <c r="G10" s="6">
        <v>0.22800000000000001</v>
      </c>
      <c r="H10" s="6">
        <f>SUM(B10:G10)</f>
        <v>2.6160000000000001</v>
      </c>
      <c r="I10" s="6" t="s">
        <v>340</v>
      </c>
      <c r="J10" s="6" t="s">
        <v>21</v>
      </c>
      <c r="K10" s="6">
        <v>602</v>
      </c>
      <c r="L10" s="6">
        <v>131</v>
      </c>
      <c r="M10" s="6">
        <v>6</v>
      </c>
      <c r="N10" s="6" t="s">
        <v>23</v>
      </c>
      <c r="O10" s="6" t="s">
        <v>24</v>
      </c>
      <c r="P10" s="6" t="s">
        <v>25</v>
      </c>
      <c r="Q10" s="6" t="s">
        <v>26</v>
      </c>
    </row>
    <row r="11" spans="1:17" ht="15" thickBot="1" x14ac:dyDescent="0.35">
      <c r="A11" s="8" t="s">
        <v>190</v>
      </c>
      <c r="B11" s="9">
        <v>1.5620000000000001</v>
      </c>
      <c r="C11" s="9">
        <v>0.41499999999999998</v>
      </c>
      <c r="D11" s="9">
        <v>5.0999999999999997E-2</v>
      </c>
      <c r="E11" s="9">
        <v>0.34300000000000003</v>
      </c>
      <c r="F11" s="9">
        <v>7.0999999999999994E-2</v>
      </c>
      <c r="G11" s="9">
        <v>0.22600000000000001</v>
      </c>
      <c r="H11" s="9">
        <f>SUM(B11:G11)</f>
        <v>2.6680000000000001</v>
      </c>
      <c r="I11" s="9" t="s">
        <v>340</v>
      </c>
      <c r="J11" s="9" t="s">
        <v>21</v>
      </c>
      <c r="K11" s="9">
        <v>602</v>
      </c>
      <c r="L11" s="9">
        <v>131</v>
      </c>
      <c r="M11" s="9">
        <v>6</v>
      </c>
      <c r="N11" s="9" t="s">
        <v>23</v>
      </c>
      <c r="O11" s="9" t="s">
        <v>24</v>
      </c>
      <c r="P11" s="9" t="s">
        <v>25</v>
      </c>
      <c r="Q11" s="9" t="s">
        <v>26</v>
      </c>
    </row>
    <row r="12" spans="1:17" x14ac:dyDescent="0.3">
      <c r="A12" s="5" t="s">
        <v>191</v>
      </c>
      <c r="B12" s="6">
        <v>1.304</v>
      </c>
      <c r="C12" s="6">
        <v>0.34499999999999997</v>
      </c>
      <c r="D12" s="6">
        <v>4.1000000000000002E-2</v>
      </c>
      <c r="E12" s="6">
        <v>0.33200000000000002</v>
      </c>
      <c r="F12" s="6">
        <v>5.2999999999999999E-2</v>
      </c>
      <c r="G12" s="6">
        <v>0.22</v>
      </c>
      <c r="H12" s="6">
        <f>SUM(B12:G12)</f>
        <v>2.2949999999999999</v>
      </c>
      <c r="I12" s="6" t="s">
        <v>340</v>
      </c>
      <c r="J12" s="6" t="s">
        <v>21</v>
      </c>
      <c r="K12" s="6">
        <v>603</v>
      </c>
      <c r="L12" s="6">
        <v>131</v>
      </c>
      <c r="M12" s="6">
        <v>6</v>
      </c>
      <c r="N12" s="6" t="s">
        <v>23</v>
      </c>
      <c r="O12" s="6" t="s">
        <v>24</v>
      </c>
      <c r="P12" s="6" t="s">
        <v>25</v>
      </c>
      <c r="Q12" s="6" t="s">
        <v>26</v>
      </c>
    </row>
    <row r="13" spans="1:17" ht="15" thickBot="1" x14ac:dyDescent="0.35">
      <c r="A13" s="8" t="s">
        <v>192</v>
      </c>
      <c r="B13" s="9">
        <v>2.5840000000000001</v>
      </c>
      <c r="C13" s="9">
        <v>0.496</v>
      </c>
      <c r="D13" s="9">
        <v>0</v>
      </c>
      <c r="E13" s="9">
        <v>0.38300000000000001</v>
      </c>
      <c r="F13" s="9">
        <v>9.7000000000000003E-2</v>
      </c>
      <c r="G13" s="9">
        <v>0.252</v>
      </c>
      <c r="H13" s="9">
        <f>SUM(B13:G13)</f>
        <v>3.8120000000000003</v>
      </c>
      <c r="I13" s="9" t="s">
        <v>340</v>
      </c>
      <c r="J13" s="9" t="s">
        <v>21</v>
      </c>
      <c r="K13" s="9">
        <v>603</v>
      </c>
      <c r="L13" s="9">
        <v>131</v>
      </c>
      <c r="M13" s="9">
        <v>6</v>
      </c>
      <c r="N13" s="9" t="s">
        <v>23</v>
      </c>
      <c r="O13" s="9" t="s">
        <v>24</v>
      </c>
      <c r="P13" s="9" t="s">
        <v>25</v>
      </c>
      <c r="Q13" s="9" t="s">
        <v>26</v>
      </c>
    </row>
    <row r="14" spans="1:17" x14ac:dyDescent="0.3">
      <c r="A14" s="11" t="s">
        <v>193</v>
      </c>
      <c r="B14" s="12">
        <v>1.583</v>
      </c>
      <c r="C14" s="12">
        <v>0.30199999999999999</v>
      </c>
      <c r="D14" s="12">
        <v>3.5999999999999997E-2</v>
      </c>
      <c r="E14" s="12">
        <v>0.255</v>
      </c>
      <c r="F14" s="12">
        <v>4.3999999999999997E-2</v>
      </c>
      <c r="G14" s="12">
        <v>0.214</v>
      </c>
      <c r="H14" s="12">
        <f>SUM(B14:G14)</f>
        <v>2.4340000000000002</v>
      </c>
      <c r="I14" s="12" t="s">
        <v>340</v>
      </c>
      <c r="J14" s="12" t="s">
        <v>21</v>
      </c>
      <c r="K14" s="12">
        <v>210</v>
      </c>
      <c r="L14" s="12">
        <v>123</v>
      </c>
      <c r="M14" s="12">
        <v>2</v>
      </c>
      <c r="N14" s="12" t="s">
        <v>23</v>
      </c>
      <c r="O14" s="12" t="s">
        <v>45</v>
      </c>
      <c r="P14" s="12" t="s">
        <v>25</v>
      </c>
      <c r="Q14" s="12" t="s">
        <v>46</v>
      </c>
    </row>
    <row r="15" spans="1:17" ht="15" thickBot="1" x14ac:dyDescent="0.35">
      <c r="A15" s="14" t="s">
        <v>194</v>
      </c>
      <c r="B15" s="15">
        <v>1.5189999999999999</v>
      </c>
      <c r="C15" s="15">
        <v>0.29899999999999999</v>
      </c>
      <c r="D15" s="15">
        <v>3.6999999999999998E-2</v>
      </c>
      <c r="E15" s="15">
        <v>0.251</v>
      </c>
      <c r="F15" s="15">
        <v>4.4999999999999998E-2</v>
      </c>
      <c r="G15" s="15">
        <v>0.21299999999999999</v>
      </c>
      <c r="H15" s="15">
        <f>SUM(B15:G15)</f>
        <v>2.3639999999999999</v>
      </c>
      <c r="I15" s="15" t="s">
        <v>340</v>
      </c>
      <c r="J15" s="15" t="s">
        <v>21</v>
      </c>
      <c r="K15" s="15">
        <v>210</v>
      </c>
      <c r="L15" s="15">
        <v>123</v>
      </c>
      <c r="M15" s="15">
        <v>2</v>
      </c>
      <c r="N15" s="15" t="s">
        <v>23</v>
      </c>
      <c r="O15" s="15" t="s">
        <v>45</v>
      </c>
      <c r="P15" s="15" t="s">
        <v>25</v>
      </c>
      <c r="Q15" s="15" t="s">
        <v>46</v>
      </c>
    </row>
    <row r="16" spans="1:17" x14ac:dyDescent="0.3">
      <c r="A16" s="11" t="s">
        <v>195</v>
      </c>
      <c r="B16" s="12">
        <v>2.3519999999999999</v>
      </c>
      <c r="C16" s="12">
        <v>0.42599999999999999</v>
      </c>
      <c r="D16" s="12">
        <v>4.5999999999999999E-2</v>
      </c>
      <c r="E16" s="12">
        <v>0.40899999999999997</v>
      </c>
      <c r="F16" s="12">
        <v>5.5E-2</v>
      </c>
      <c r="G16" s="12">
        <v>0.23100000000000001</v>
      </c>
      <c r="H16" s="12">
        <f>SUM(B16:G16)</f>
        <v>3.5189999999999997</v>
      </c>
      <c r="I16" s="12" t="s">
        <v>340</v>
      </c>
      <c r="J16" s="12" t="s">
        <v>21</v>
      </c>
      <c r="K16" s="12">
        <v>301</v>
      </c>
      <c r="L16" s="12">
        <v>125</v>
      </c>
      <c r="M16" s="12">
        <v>3</v>
      </c>
      <c r="N16" s="12" t="s">
        <v>23</v>
      </c>
      <c r="O16" s="12" t="s">
        <v>45</v>
      </c>
      <c r="P16" s="12" t="s">
        <v>25</v>
      </c>
      <c r="Q16" s="12" t="s">
        <v>46</v>
      </c>
    </row>
    <row r="17" spans="1:17" ht="15" thickBot="1" x14ac:dyDescent="0.35">
      <c r="A17" s="14" t="s">
        <v>196</v>
      </c>
      <c r="B17" s="15">
        <v>2.4119999999999999</v>
      </c>
      <c r="C17" s="15">
        <v>0.42599999999999999</v>
      </c>
      <c r="D17" s="15">
        <v>4.4999999999999998E-2</v>
      </c>
      <c r="E17" s="15">
        <v>0.40100000000000002</v>
      </c>
      <c r="F17" s="15">
        <v>5.3999999999999999E-2</v>
      </c>
      <c r="G17" s="15">
        <v>0.23</v>
      </c>
      <c r="H17" s="15">
        <f>SUM(B17:G17)</f>
        <v>3.5679999999999996</v>
      </c>
      <c r="I17" s="15" t="s">
        <v>340</v>
      </c>
      <c r="J17" s="15" t="s">
        <v>21</v>
      </c>
      <c r="K17" s="15">
        <v>301</v>
      </c>
      <c r="L17" s="15">
        <v>125</v>
      </c>
      <c r="M17" s="15">
        <v>3</v>
      </c>
      <c r="N17" s="15" t="s">
        <v>23</v>
      </c>
      <c r="O17" s="15" t="s">
        <v>45</v>
      </c>
      <c r="P17" s="15" t="s">
        <v>25</v>
      </c>
      <c r="Q17" s="15" t="s">
        <v>46</v>
      </c>
    </row>
    <row r="18" spans="1:17" x14ac:dyDescent="0.3">
      <c r="A18" s="11" t="s">
        <v>197</v>
      </c>
      <c r="B18" s="12">
        <v>2.4750000000000001</v>
      </c>
      <c r="C18" s="12">
        <v>0.47799999999999998</v>
      </c>
      <c r="D18" s="12">
        <v>5.5E-2</v>
      </c>
      <c r="E18" s="12">
        <v>0.39900000000000002</v>
      </c>
      <c r="F18" s="12">
        <v>6.0999999999999999E-2</v>
      </c>
      <c r="G18" s="12">
        <v>0.23100000000000001</v>
      </c>
      <c r="H18" s="12">
        <f>SUM(B18:G18)</f>
        <v>3.6990000000000003</v>
      </c>
      <c r="I18" s="12" t="s">
        <v>340</v>
      </c>
      <c r="J18" s="12" t="s">
        <v>21</v>
      </c>
      <c r="K18" s="12">
        <v>608</v>
      </c>
      <c r="L18" s="12">
        <v>133</v>
      </c>
      <c r="M18" s="12">
        <v>6</v>
      </c>
      <c r="N18" s="12" t="s">
        <v>23</v>
      </c>
      <c r="O18" s="12" t="s">
        <v>45</v>
      </c>
      <c r="P18" s="12" t="s">
        <v>25</v>
      </c>
      <c r="Q18" s="12" t="s">
        <v>46</v>
      </c>
    </row>
    <row r="19" spans="1:17" ht="15" thickBot="1" x14ac:dyDescent="0.35">
      <c r="A19" s="14" t="s">
        <v>198</v>
      </c>
      <c r="B19" s="15">
        <v>2.4159999999999999</v>
      </c>
      <c r="C19" s="15">
        <v>0.46600000000000003</v>
      </c>
      <c r="D19" s="15">
        <v>5.5E-2</v>
      </c>
      <c r="E19" s="15">
        <v>0.4</v>
      </c>
      <c r="F19" s="15">
        <v>6.2E-2</v>
      </c>
      <c r="G19" s="15">
        <v>0.23</v>
      </c>
      <c r="H19" s="15">
        <f>SUM(B19:G19)</f>
        <v>3.629</v>
      </c>
      <c r="I19" s="15" t="s">
        <v>340</v>
      </c>
      <c r="J19" s="15" t="s">
        <v>21</v>
      </c>
      <c r="K19" s="15">
        <v>608</v>
      </c>
      <c r="L19" s="15">
        <v>133</v>
      </c>
      <c r="M19" s="15">
        <v>6</v>
      </c>
      <c r="N19" s="15" t="s">
        <v>23</v>
      </c>
      <c r="O19" s="15" t="s">
        <v>45</v>
      </c>
      <c r="P19" s="15" t="s">
        <v>25</v>
      </c>
      <c r="Q19" s="15" t="s">
        <v>46</v>
      </c>
    </row>
    <row r="20" spans="1:17" x14ac:dyDescent="0.3">
      <c r="A20" s="11" t="s">
        <v>199</v>
      </c>
      <c r="B20" s="12">
        <v>2.88</v>
      </c>
      <c r="C20" s="12">
        <v>0.54600000000000004</v>
      </c>
      <c r="D20" s="12">
        <v>7.0000000000000007E-2</v>
      </c>
      <c r="E20" s="12">
        <v>0.40899999999999997</v>
      </c>
      <c r="F20" s="12">
        <v>8.1000000000000003E-2</v>
      </c>
      <c r="G20" s="12">
        <v>0.24299999999999999</v>
      </c>
      <c r="H20" s="12">
        <f>SUM(B20:G20)</f>
        <v>4.2290000000000001</v>
      </c>
      <c r="I20" s="12" t="s">
        <v>340</v>
      </c>
      <c r="J20" s="12" t="s">
        <v>21</v>
      </c>
      <c r="K20" s="12">
        <v>609</v>
      </c>
      <c r="L20" s="12">
        <v>133</v>
      </c>
      <c r="M20" s="12">
        <v>6</v>
      </c>
      <c r="N20" s="12" t="s">
        <v>23</v>
      </c>
      <c r="O20" s="12" t="s">
        <v>45</v>
      </c>
      <c r="P20" s="12" t="s">
        <v>25</v>
      </c>
      <c r="Q20" s="12" t="s">
        <v>46</v>
      </c>
    </row>
    <row r="21" spans="1:17" ht="15" thickBot="1" x14ac:dyDescent="0.35">
      <c r="A21" s="14" t="s">
        <v>200</v>
      </c>
      <c r="B21" s="15">
        <v>3.0179999999999998</v>
      </c>
      <c r="C21" s="15">
        <v>0.52700000000000002</v>
      </c>
      <c r="D21" s="15">
        <v>6.4000000000000001E-2</v>
      </c>
      <c r="E21" s="15">
        <v>0.40400000000000003</v>
      </c>
      <c r="F21" s="15">
        <v>7.3999999999999996E-2</v>
      </c>
      <c r="G21" s="15">
        <v>0.23799999999999999</v>
      </c>
      <c r="H21" s="15">
        <f>SUM(B21:G21)</f>
        <v>4.3249999999999993</v>
      </c>
      <c r="I21" s="15" t="s">
        <v>340</v>
      </c>
      <c r="J21" s="15" t="s">
        <v>21</v>
      </c>
      <c r="K21" s="15">
        <v>609</v>
      </c>
      <c r="L21" s="15">
        <v>133</v>
      </c>
      <c r="M21" s="15">
        <v>6</v>
      </c>
      <c r="N21" s="15" t="s">
        <v>23</v>
      </c>
      <c r="O21" s="15" t="s">
        <v>45</v>
      </c>
      <c r="P21" s="15" t="s">
        <v>25</v>
      </c>
      <c r="Q21" s="15" t="s">
        <v>46</v>
      </c>
    </row>
    <row r="22" spans="1:17" x14ac:dyDescent="0.3">
      <c r="A22" s="11" t="s">
        <v>201</v>
      </c>
      <c r="B22" s="12">
        <v>2.0390000000000001</v>
      </c>
      <c r="C22" s="12">
        <v>0.50800000000000001</v>
      </c>
      <c r="D22" s="12">
        <v>6.7000000000000004E-2</v>
      </c>
      <c r="E22" s="12">
        <v>0.46400000000000002</v>
      </c>
      <c r="F22" s="12">
        <v>7.9000000000000001E-2</v>
      </c>
      <c r="G22" s="12">
        <v>0.23200000000000001</v>
      </c>
      <c r="H22" s="12">
        <f>SUM(B22:G22)</f>
        <v>3.3890000000000007</v>
      </c>
      <c r="I22" s="12" t="s">
        <v>340</v>
      </c>
      <c r="J22" s="12" t="s">
        <v>21</v>
      </c>
      <c r="K22" s="12">
        <v>610</v>
      </c>
      <c r="L22" s="12">
        <v>133</v>
      </c>
      <c r="M22" s="12">
        <v>6</v>
      </c>
      <c r="N22" s="12" t="s">
        <v>23</v>
      </c>
      <c r="O22" s="12" t="s">
        <v>45</v>
      </c>
      <c r="P22" s="12" t="s">
        <v>25</v>
      </c>
      <c r="Q22" s="12" t="s">
        <v>46</v>
      </c>
    </row>
    <row r="23" spans="1:17" ht="15" thickBot="1" x14ac:dyDescent="0.35">
      <c r="A23" s="14" t="s">
        <v>202</v>
      </c>
      <c r="B23" s="15">
        <v>2.0699999999999998</v>
      </c>
      <c r="C23" s="15">
        <v>0.498</v>
      </c>
      <c r="D23" s="15">
        <v>6.8000000000000005E-2</v>
      </c>
      <c r="E23" s="15">
        <v>0.46800000000000003</v>
      </c>
      <c r="F23" s="15">
        <v>7.5999999999999998E-2</v>
      </c>
      <c r="G23" s="15">
        <v>0.23400000000000001</v>
      </c>
      <c r="H23" s="15">
        <f>SUM(B23:G23)</f>
        <v>3.4139999999999997</v>
      </c>
      <c r="I23" s="15" t="s">
        <v>340</v>
      </c>
      <c r="J23" s="15" t="s">
        <v>21</v>
      </c>
      <c r="K23" s="15">
        <v>610</v>
      </c>
      <c r="L23" s="15">
        <v>133</v>
      </c>
      <c r="M23" s="15">
        <v>6</v>
      </c>
      <c r="N23" s="15" t="s">
        <v>23</v>
      </c>
      <c r="O23" s="15" t="s">
        <v>45</v>
      </c>
      <c r="P23" s="15" t="s">
        <v>25</v>
      </c>
      <c r="Q23" s="15" t="s">
        <v>46</v>
      </c>
    </row>
    <row r="24" spans="1:17" x14ac:dyDescent="0.3">
      <c r="A24" s="11" t="s">
        <v>203</v>
      </c>
      <c r="B24" s="12">
        <v>1.804</v>
      </c>
      <c r="C24" s="12">
        <v>0.47</v>
      </c>
      <c r="D24" s="12">
        <v>6.0999999999999999E-2</v>
      </c>
      <c r="E24" s="12">
        <v>0.41399999999999998</v>
      </c>
      <c r="F24" s="12">
        <v>0.06</v>
      </c>
      <c r="G24" s="12">
        <v>0.23300000000000001</v>
      </c>
      <c r="H24" s="12">
        <f>SUM(B24:G24)</f>
        <v>3.0420000000000003</v>
      </c>
      <c r="I24" s="12" t="s">
        <v>340</v>
      </c>
      <c r="J24" s="12" t="s">
        <v>21</v>
      </c>
      <c r="K24" s="12">
        <v>611</v>
      </c>
      <c r="L24" s="12">
        <v>133</v>
      </c>
      <c r="M24" s="12">
        <v>6</v>
      </c>
      <c r="N24" s="12" t="s">
        <v>23</v>
      </c>
      <c r="O24" s="12" t="s">
        <v>45</v>
      </c>
      <c r="P24" s="12" t="s">
        <v>25</v>
      </c>
      <c r="Q24" s="12" t="s">
        <v>46</v>
      </c>
    </row>
    <row r="25" spans="1:17" ht="15" thickBot="1" x14ac:dyDescent="0.35">
      <c r="A25" s="14" t="s">
        <v>204</v>
      </c>
      <c r="B25" s="15">
        <v>1.6930000000000001</v>
      </c>
      <c r="C25" s="15">
        <v>0.44800000000000001</v>
      </c>
      <c r="D25" s="15">
        <v>5.5E-2</v>
      </c>
      <c r="E25" s="15">
        <v>0.41199999999999998</v>
      </c>
      <c r="F25" s="15">
        <v>7.4999999999999997E-2</v>
      </c>
      <c r="G25" s="15">
        <v>0.23100000000000001</v>
      </c>
      <c r="H25" s="15">
        <f>SUM(B25:G25)</f>
        <v>2.9140000000000001</v>
      </c>
      <c r="I25" s="15" t="s">
        <v>340</v>
      </c>
      <c r="J25" s="15" t="s">
        <v>21</v>
      </c>
      <c r="K25" s="15">
        <v>611</v>
      </c>
      <c r="L25" s="15">
        <v>133</v>
      </c>
      <c r="M25" s="15">
        <v>6</v>
      </c>
      <c r="N25" s="15" t="s">
        <v>23</v>
      </c>
      <c r="O25" s="15" t="s">
        <v>45</v>
      </c>
      <c r="P25" s="15" t="s">
        <v>25</v>
      </c>
      <c r="Q25" s="15" t="s">
        <v>46</v>
      </c>
    </row>
    <row r="26" spans="1:17" x14ac:dyDescent="0.3">
      <c r="A26" s="11" t="s">
        <v>205</v>
      </c>
      <c r="B26" s="12">
        <v>1.6619999999999999</v>
      </c>
      <c r="C26" s="12">
        <v>0.49299999999999999</v>
      </c>
      <c r="D26" s="12">
        <v>6.4000000000000001E-2</v>
      </c>
      <c r="E26" s="12">
        <v>0.40600000000000003</v>
      </c>
      <c r="F26" s="12">
        <v>7.9000000000000001E-2</v>
      </c>
      <c r="G26" s="12">
        <v>0.23200000000000001</v>
      </c>
      <c r="H26" s="12">
        <f>SUM(B26:G26)</f>
        <v>2.9360000000000004</v>
      </c>
      <c r="I26" s="12" t="s">
        <v>340</v>
      </c>
      <c r="J26" s="12" t="s">
        <v>21</v>
      </c>
      <c r="K26" s="12">
        <v>612</v>
      </c>
      <c r="L26" s="12">
        <v>133</v>
      </c>
      <c r="M26" s="12">
        <v>6</v>
      </c>
      <c r="N26" s="12" t="s">
        <v>23</v>
      </c>
      <c r="O26" s="12" t="s">
        <v>45</v>
      </c>
      <c r="P26" s="12" t="s">
        <v>25</v>
      </c>
      <c r="Q26" s="12" t="s">
        <v>46</v>
      </c>
    </row>
    <row r="27" spans="1:17" ht="15" thickBot="1" x14ac:dyDescent="0.35">
      <c r="A27" s="14" t="s">
        <v>206</v>
      </c>
      <c r="B27" s="15">
        <v>1.9339999999999999</v>
      </c>
      <c r="C27" s="15">
        <v>0.51400000000000001</v>
      </c>
      <c r="D27" s="15">
        <v>6.5000000000000002E-2</v>
      </c>
      <c r="E27" s="15">
        <v>0.41599999999999998</v>
      </c>
      <c r="F27" s="15">
        <v>7.1999999999999995E-2</v>
      </c>
      <c r="G27" s="15">
        <v>0.23200000000000001</v>
      </c>
      <c r="H27" s="15">
        <f>SUM(B27:G27)</f>
        <v>3.2330000000000001</v>
      </c>
      <c r="I27" s="15" t="s">
        <v>340</v>
      </c>
      <c r="J27" s="15" t="s">
        <v>21</v>
      </c>
      <c r="K27" s="15">
        <v>612</v>
      </c>
      <c r="L27" s="15">
        <v>133</v>
      </c>
      <c r="M27" s="15">
        <v>6</v>
      </c>
      <c r="N27" s="15" t="s">
        <v>23</v>
      </c>
      <c r="O27" s="15" t="s">
        <v>45</v>
      </c>
      <c r="P27" s="15" t="s">
        <v>25</v>
      </c>
      <c r="Q27" s="15" t="s">
        <v>46</v>
      </c>
    </row>
    <row r="28" spans="1:17" x14ac:dyDescent="0.3">
      <c r="A28" s="11" t="s">
        <v>207</v>
      </c>
      <c r="B28" s="12">
        <v>3.0979999999999999</v>
      </c>
      <c r="C28" s="12">
        <v>0.57999999999999996</v>
      </c>
      <c r="D28" s="12">
        <v>7.0000000000000007E-2</v>
      </c>
      <c r="E28" s="12">
        <v>0.49299999999999999</v>
      </c>
      <c r="F28" s="12">
        <v>0.08</v>
      </c>
      <c r="G28" s="12">
        <v>0.23699999999999999</v>
      </c>
      <c r="H28" s="12">
        <f>SUM(B28:G28)</f>
        <v>4.5579999999999998</v>
      </c>
      <c r="I28" s="12" t="s">
        <v>340</v>
      </c>
      <c r="J28" s="12" t="s">
        <v>21</v>
      </c>
      <c r="K28" s="12">
        <v>613</v>
      </c>
      <c r="L28" s="12">
        <v>133</v>
      </c>
      <c r="M28" s="12">
        <v>6</v>
      </c>
      <c r="N28" s="12" t="s">
        <v>23</v>
      </c>
      <c r="O28" s="12" t="s">
        <v>45</v>
      </c>
      <c r="P28" s="12" t="s">
        <v>25</v>
      </c>
      <c r="Q28" s="12" t="s">
        <v>46</v>
      </c>
    </row>
    <row r="29" spans="1:17" ht="15" thickBot="1" x14ac:dyDescent="0.35">
      <c r="A29" s="14" t="s">
        <v>208</v>
      </c>
      <c r="B29" s="15">
        <v>2.7869999999999999</v>
      </c>
      <c r="C29" s="15">
        <v>0.55400000000000005</v>
      </c>
      <c r="D29" s="15">
        <v>6.8000000000000005E-2</v>
      </c>
      <c r="E29" s="15">
        <v>0.46300000000000002</v>
      </c>
      <c r="F29" s="15">
        <v>8.1000000000000003E-2</v>
      </c>
      <c r="G29" s="15">
        <v>0.23599999999999999</v>
      </c>
      <c r="H29" s="15">
        <f>SUM(B29:G29)</f>
        <v>4.1890000000000001</v>
      </c>
      <c r="I29" s="15" t="s">
        <v>340</v>
      </c>
      <c r="J29" s="15" t="s">
        <v>21</v>
      </c>
      <c r="K29" s="15">
        <v>613</v>
      </c>
      <c r="L29" s="15">
        <v>133</v>
      </c>
      <c r="M29" s="15">
        <v>6</v>
      </c>
      <c r="N29" s="15" t="s">
        <v>23</v>
      </c>
      <c r="O29" s="15" t="s">
        <v>45</v>
      </c>
      <c r="P29" s="15" t="s">
        <v>25</v>
      </c>
      <c r="Q29" s="15" t="s">
        <v>46</v>
      </c>
    </row>
    <row r="30" spans="1:17" x14ac:dyDescent="0.3">
      <c r="A30" s="17" t="s">
        <v>209</v>
      </c>
      <c r="B30" s="18">
        <v>9.5109999999999992</v>
      </c>
      <c r="C30" s="18">
        <v>1.38</v>
      </c>
      <c r="D30" s="18">
        <v>7.4999999999999997E-2</v>
      </c>
      <c r="E30" s="18">
        <v>2.52</v>
      </c>
      <c r="F30" s="18">
        <v>8.7999999999999995E-2</v>
      </c>
      <c r="G30" s="18">
        <v>0.255</v>
      </c>
      <c r="H30" s="18">
        <f>SUM(B30:G30)</f>
        <v>13.828999999999997</v>
      </c>
      <c r="I30" s="18" t="s">
        <v>340</v>
      </c>
      <c r="J30" s="18" t="s">
        <v>21</v>
      </c>
      <c r="K30" s="18">
        <v>123</v>
      </c>
      <c r="L30" s="18">
        <v>106</v>
      </c>
      <c r="M30" s="18">
        <v>1</v>
      </c>
      <c r="N30" s="18" t="s">
        <v>23</v>
      </c>
      <c r="O30" s="18" t="s">
        <v>45</v>
      </c>
      <c r="P30" s="18" t="s">
        <v>65</v>
      </c>
      <c r="Q30" s="18" t="s">
        <v>66</v>
      </c>
    </row>
    <row r="31" spans="1:17" ht="15" thickBot="1" x14ac:dyDescent="0.35">
      <c r="A31" s="20" t="s">
        <v>210</v>
      </c>
      <c r="B31" s="21">
        <v>7.9870000000000001</v>
      </c>
      <c r="C31" s="21">
        <v>1.2669999999999999</v>
      </c>
      <c r="D31" s="21">
        <v>6.3E-2</v>
      </c>
      <c r="E31" s="21">
        <v>2.4350000000000001</v>
      </c>
      <c r="F31" s="21">
        <v>8.5999999999999993E-2</v>
      </c>
      <c r="G31" s="21">
        <v>0.254</v>
      </c>
      <c r="H31" s="21">
        <f>SUM(B31:G31)</f>
        <v>12.092000000000001</v>
      </c>
      <c r="I31" s="21" t="s">
        <v>340</v>
      </c>
      <c r="J31" s="21" t="s">
        <v>21</v>
      </c>
      <c r="K31" s="21">
        <v>123</v>
      </c>
      <c r="L31" s="21">
        <v>106</v>
      </c>
      <c r="M31" s="21">
        <v>1</v>
      </c>
      <c r="N31" s="21" t="s">
        <v>23</v>
      </c>
      <c r="O31" s="21" t="s">
        <v>45</v>
      </c>
      <c r="P31" s="21" t="s">
        <v>65</v>
      </c>
      <c r="Q31" s="21" t="s">
        <v>66</v>
      </c>
    </row>
    <row r="32" spans="1:17" x14ac:dyDescent="0.3">
      <c r="A32" s="17" t="s">
        <v>211</v>
      </c>
      <c r="B32" s="18">
        <v>13.737</v>
      </c>
      <c r="C32" s="18">
        <v>1.1599999999999999</v>
      </c>
      <c r="D32" s="18">
        <v>4.4999999999999998E-2</v>
      </c>
      <c r="E32" s="18">
        <v>1.044</v>
      </c>
      <c r="F32" s="18">
        <v>0.377</v>
      </c>
      <c r="G32" s="18">
        <v>0.23300000000000001</v>
      </c>
      <c r="H32" s="18">
        <f>SUM(B32:G32)</f>
        <v>16.596</v>
      </c>
      <c r="I32" s="18" t="s">
        <v>340</v>
      </c>
      <c r="J32" s="18" t="s">
        <v>21</v>
      </c>
      <c r="K32" s="18">
        <v>230</v>
      </c>
      <c r="L32" s="18">
        <v>119</v>
      </c>
      <c r="M32" s="18">
        <v>2</v>
      </c>
      <c r="N32" s="18" t="s">
        <v>23</v>
      </c>
      <c r="O32" s="18" t="s">
        <v>45</v>
      </c>
      <c r="P32" s="18" t="s">
        <v>65</v>
      </c>
      <c r="Q32" s="18" t="s">
        <v>66</v>
      </c>
    </row>
    <row r="33" spans="1:17" ht="15" thickBot="1" x14ac:dyDescent="0.35">
      <c r="A33" s="20" t="s">
        <v>211</v>
      </c>
      <c r="B33" s="21">
        <v>8.6539999999999999</v>
      </c>
      <c r="C33" s="21">
        <v>0.96</v>
      </c>
      <c r="D33" s="21">
        <v>4.3999999999999997E-2</v>
      </c>
      <c r="E33" s="21">
        <v>0.93200000000000005</v>
      </c>
      <c r="F33" s="21">
        <v>0.33400000000000002</v>
      </c>
      <c r="G33" s="21">
        <v>0.23300000000000001</v>
      </c>
      <c r="H33" s="21">
        <f>SUM(B33:G33)</f>
        <v>11.157000000000002</v>
      </c>
      <c r="I33" s="21" t="s">
        <v>340</v>
      </c>
      <c r="J33" s="21" t="s">
        <v>21</v>
      </c>
      <c r="K33" s="21">
        <v>230</v>
      </c>
      <c r="L33" s="21">
        <v>119</v>
      </c>
      <c r="M33" s="21">
        <v>2</v>
      </c>
      <c r="N33" s="21" t="s">
        <v>23</v>
      </c>
      <c r="O33" s="21" t="s">
        <v>45</v>
      </c>
      <c r="P33" s="21" t="s">
        <v>65</v>
      </c>
      <c r="Q33" s="21" t="s">
        <v>66</v>
      </c>
    </row>
    <row r="34" spans="1:17" x14ac:dyDescent="0.3">
      <c r="A34" s="17" t="s">
        <v>212</v>
      </c>
      <c r="B34" s="18">
        <v>4.6680000000000001</v>
      </c>
      <c r="C34" s="18">
        <v>0.78600000000000003</v>
      </c>
      <c r="D34" s="18">
        <v>7.8E-2</v>
      </c>
      <c r="E34" s="18">
        <v>0.90600000000000003</v>
      </c>
      <c r="F34" s="18">
        <v>9.8000000000000004E-2</v>
      </c>
      <c r="G34" s="18">
        <v>0.24099999999999999</v>
      </c>
      <c r="H34" s="18">
        <f>SUM(B34:G34)</f>
        <v>6.7770000000000001</v>
      </c>
      <c r="I34" s="18" t="s">
        <v>340</v>
      </c>
      <c r="J34" s="18" t="s">
        <v>21</v>
      </c>
      <c r="K34" s="18">
        <v>617</v>
      </c>
      <c r="L34" s="18">
        <v>118</v>
      </c>
      <c r="M34" s="18">
        <v>6</v>
      </c>
      <c r="N34" s="18" t="s">
        <v>23</v>
      </c>
      <c r="O34" s="18" t="s">
        <v>45</v>
      </c>
      <c r="P34" s="18" t="s">
        <v>65</v>
      </c>
      <c r="Q34" s="18" t="s">
        <v>66</v>
      </c>
    </row>
    <row r="35" spans="1:17" ht="15" thickBot="1" x14ac:dyDescent="0.35">
      <c r="A35" s="20" t="s">
        <v>213</v>
      </c>
      <c r="B35" s="21">
        <v>4.3490000000000002</v>
      </c>
      <c r="C35" s="21">
        <v>0.73099999999999998</v>
      </c>
      <c r="D35" s="21">
        <v>6.6000000000000003E-2</v>
      </c>
      <c r="E35" s="21">
        <v>0.85699999999999998</v>
      </c>
      <c r="F35" s="21">
        <v>9.5000000000000001E-2</v>
      </c>
      <c r="G35" s="21">
        <v>0.23899999999999999</v>
      </c>
      <c r="H35" s="21">
        <f>SUM(B35:G35)</f>
        <v>6.3369999999999997</v>
      </c>
      <c r="I35" s="21" t="s">
        <v>340</v>
      </c>
      <c r="J35" s="21" t="s">
        <v>21</v>
      </c>
      <c r="K35" s="21">
        <v>617</v>
      </c>
      <c r="L35" s="21">
        <v>118</v>
      </c>
      <c r="M35" s="21">
        <v>6</v>
      </c>
      <c r="N35" s="21" t="s">
        <v>23</v>
      </c>
      <c r="O35" s="21" t="s">
        <v>45</v>
      </c>
      <c r="P35" s="21" t="s">
        <v>65</v>
      </c>
      <c r="Q35" s="21" t="s">
        <v>66</v>
      </c>
    </row>
    <row r="36" spans="1:17" x14ac:dyDescent="0.3">
      <c r="A36" s="17" t="s">
        <v>214</v>
      </c>
      <c r="B36" s="18">
        <v>4.5209999999999999</v>
      </c>
      <c r="C36" s="18">
        <v>0.85399999999999998</v>
      </c>
      <c r="D36" s="18">
        <v>8.7999999999999995E-2</v>
      </c>
      <c r="E36" s="18">
        <v>0.85899999999999999</v>
      </c>
      <c r="F36" s="18">
        <v>0.10199999999999999</v>
      </c>
      <c r="G36" s="18">
        <v>0.248</v>
      </c>
      <c r="H36" s="18">
        <f>SUM(B36:G36)</f>
        <v>6.6720000000000006</v>
      </c>
      <c r="I36" s="18" t="s">
        <v>340</v>
      </c>
      <c r="J36" s="18" t="s">
        <v>21</v>
      </c>
      <c r="K36" s="18">
        <v>618</v>
      </c>
      <c r="L36" s="18">
        <v>118</v>
      </c>
      <c r="M36" s="18">
        <v>6</v>
      </c>
      <c r="N36" s="18" t="s">
        <v>23</v>
      </c>
      <c r="O36" s="18" t="s">
        <v>45</v>
      </c>
      <c r="P36" s="18" t="s">
        <v>65</v>
      </c>
      <c r="Q36" s="18" t="s">
        <v>66</v>
      </c>
    </row>
    <row r="37" spans="1:17" ht="15" thickBot="1" x14ac:dyDescent="0.35">
      <c r="A37" s="20" t="s">
        <v>215</v>
      </c>
      <c r="B37" s="21">
        <v>5.0129999999999999</v>
      </c>
      <c r="C37" s="21">
        <v>0.82799999999999996</v>
      </c>
      <c r="D37" s="21">
        <v>8.3000000000000004E-2</v>
      </c>
      <c r="E37" s="21">
        <v>0.85499999999999998</v>
      </c>
      <c r="F37" s="21">
        <v>9.8000000000000004E-2</v>
      </c>
      <c r="G37" s="21">
        <v>0.247</v>
      </c>
      <c r="H37" s="21">
        <f>SUM(B37:G37)</f>
        <v>7.1239999999999997</v>
      </c>
      <c r="I37" s="21" t="s">
        <v>340</v>
      </c>
      <c r="J37" s="21" t="s">
        <v>21</v>
      </c>
      <c r="K37" s="21">
        <v>618</v>
      </c>
      <c r="L37" s="21">
        <v>118</v>
      </c>
      <c r="M37" s="21">
        <v>6</v>
      </c>
      <c r="N37" s="21" t="s">
        <v>23</v>
      </c>
      <c r="O37" s="21" t="s">
        <v>45</v>
      </c>
      <c r="P37" s="21" t="s">
        <v>65</v>
      </c>
      <c r="Q37" s="21" t="s">
        <v>66</v>
      </c>
    </row>
    <row r="38" spans="1:17" x14ac:dyDescent="0.3">
      <c r="A38" s="17" t="s">
        <v>216</v>
      </c>
      <c r="B38" s="18">
        <v>3.9039999999999999</v>
      </c>
      <c r="C38" s="18">
        <v>0.77700000000000002</v>
      </c>
      <c r="D38" s="18">
        <v>7.4999999999999997E-2</v>
      </c>
      <c r="E38" s="18">
        <v>0.64200000000000002</v>
      </c>
      <c r="F38" s="18">
        <v>8.7999999999999995E-2</v>
      </c>
      <c r="G38" s="18">
        <v>0.24199999999999999</v>
      </c>
      <c r="H38" s="18">
        <f>SUM(B38:G38)</f>
        <v>5.7280000000000006</v>
      </c>
      <c r="I38" s="18" t="s">
        <v>340</v>
      </c>
      <c r="J38" s="18" t="s">
        <v>21</v>
      </c>
      <c r="K38" s="18">
        <v>619</v>
      </c>
      <c r="L38" s="18">
        <v>118</v>
      </c>
      <c r="M38" s="18">
        <v>6</v>
      </c>
      <c r="N38" s="18" t="s">
        <v>23</v>
      </c>
      <c r="O38" s="18" t="s">
        <v>45</v>
      </c>
      <c r="P38" s="18" t="s">
        <v>65</v>
      </c>
      <c r="Q38" s="18" t="s">
        <v>66</v>
      </c>
    </row>
    <row r="39" spans="1:17" ht="15" thickBot="1" x14ac:dyDescent="0.35">
      <c r="A39" s="20" t="s">
        <v>217</v>
      </c>
      <c r="B39" s="21">
        <v>4.28</v>
      </c>
      <c r="C39" s="21">
        <v>0.77300000000000002</v>
      </c>
      <c r="D39" s="21">
        <v>7.1999999999999995E-2</v>
      </c>
      <c r="E39" s="21">
        <v>0.66300000000000003</v>
      </c>
      <c r="F39" s="21">
        <v>8.6999999999999994E-2</v>
      </c>
      <c r="G39" s="21">
        <v>0.24</v>
      </c>
      <c r="H39" s="21">
        <f>SUM(B39:G39)</f>
        <v>6.1150000000000002</v>
      </c>
      <c r="I39" s="21" t="s">
        <v>340</v>
      </c>
      <c r="J39" s="21" t="s">
        <v>21</v>
      </c>
      <c r="K39" s="21">
        <v>619</v>
      </c>
      <c r="L39" s="21">
        <v>118</v>
      </c>
      <c r="M39" s="21">
        <v>6</v>
      </c>
      <c r="N39" s="21" t="s">
        <v>23</v>
      </c>
      <c r="O39" s="21" t="s">
        <v>45</v>
      </c>
      <c r="P39" s="21" t="s">
        <v>65</v>
      </c>
      <c r="Q39" s="21" t="s">
        <v>66</v>
      </c>
    </row>
    <row r="40" spans="1:17" x14ac:dyDescent="0.3">
      <c r="A40" s="17" t="s">
        <v>218</v>
      </c>
      <c r="B40" s="18">
        <v>4.242</v>
      </c>
      <c r="C40" s="18">
        <v>0.82099999999999995</v>
      </c>
      <c r="D40" s="18">
        <v>7.4999999999999997E-2</v>
      </c>
      <c r="E40" s="18">
        <v>0.623</v>
      </c>
      <c r="F40" s="18">
        <v>8.5999999999999993E-2</v>
      </c>
      <c r="G40" s="18">
        <v>0.24099999999999999</v>
      </c>
      <c r="H40" s="18">
        <f>SUM(B40:G40)</f>
        <v>6.0880000000000001</v>
      </c>
      <c r="I40" s="18" t="s">
        <v>340</v>
      </c>
      <c r="J40" s="18" t="s">
        <v>21</v>
      </c>
      <c r="K40" s="18">
        <v>620</v>
      </c>
      <c r="L40" s="18">
        <v>118</v>
      </c>
      <c r="M40" s="18">
        <v>6</v>
      </c>
      <c r="N40" s="18" t="s">
        <v>23</v>
      </c>
      <c r="O40" s="18" t="s">
        <v>45</v>
      </c>
      <c r="P40" s="18" t="s">
        <v>65</v>
      </c>
      <c r="Q40" s="18" t="s">
        <v>66</v>
      </c>
    </row>
    <row r="41" spans="1:17" ht="15" thickBot="1" x14ac:dyDescent="0.35">
      <c r="A41" s="20" t="s">
        <v>219</v>
      </c>
      <c r="B41" s="21">
        <v>4.0259999999999998</v>
      </c>
      <c r="C41" s="21">
        <v>0.75600000000000001</v>
      </c>
      <c r="D41" s="21">
        <v>7.0000000000000007E-2</v>
      </c>
      <c r="E41" s="21">
        <v>0.61299999999999999</v>
      </c>
      <c r="F41" s="21">
        <v>8.3000000000000004E-2</v>
      </c>
      <c r="G41" s="21">
        <v>0.23699999999999999</v>
      </c>
      <c r="H41" s="21">
        <f>SUM(B41:G41)</f>
        <v>5.7850000000000001</v>
      </c>
      <c r="I41" s="21" t="s">
        <v>340</v>
      </c>
      <c r="J41" s="21" t="s">
        <v>21</v>
      </c>
      <c r="K41" s="21">
        <v>620</v>
      </c>
      <c r="L41" s="21">
        <v>118</v>
      </c>
      <c r="M41" s="21">
        <v>6</v>
      </c>
      <c r="N41" s="21" t="s">
        <v>23</v>
      </c>
      <c r="O41" s="21" t="s">
        <v>45</v>
      </c>
      <c r="P41" s="21" t="s">
        <v>65</v>
      </c>
      <c r="Q41" s="21" t="s">
        <v>66</v>
      </c>
    </row>
    <row r="42" spans="1:17" x14ac:dyDescent="0.3">
      <c r="A42" s="17" t="s">
        <v>220</v>
      </c>
      <c r="B42" s="18">
        <v>7.1109999999999998</v>
      </c>
      <c r="C42" s="18">
        <v>1.528</v>
      </c>
      <c r="D42" s="18">
        <v>7.4999999999999997E-2</v>
      </c>
      <c r="E42" s="18">
        <v>0.96499999999999997</v>
      </c>
      <c r="F42" s="18">
        <v>9.5000000000000001E-2</v>
      </c>
      <c r="G42" s="18">
        <v>0.24199999999999999</v>
      </c>
      <c r="H42" s="18">
        <f>SUM(B42:G42)</f>
        <v>10.015999999999998</v>
      </c>
      <c r="I42" s="18" t="s">
        <v>340</v>
      </c>
      <c r="J42" s="18" t="s">
        <v>21</v>
      </c>
      <c r="K42" s="18">
        <v>623</v>
      </c>
      <c r="L42" s="18">
        <v>136</v>
      </c>
      <c r="M42" s="18">
        <v>6</v>
      </c>
      <c r="N42" s="18" t="s">
        <v>23</v>
      </c>
      <c r="O42" s="18" t="s">
        <v>45</v>
      </c>
      <c r="P42" s="18" t="s">
        <v>65</v>
      </c>
      <c r="Q42" s="18" t="s">
        <v>66</v>
      </c>
    </row>
    <row r="43" spans="1:17" ht="15" thickBot="1" x14ac:dyDescent="0.35">
      <c r="A43" s="20" t="s">
        <v>221</v>
      </c>
      <c r="B43" s="21">
        <v>8.08</v>
      </c>
      <c r="C43" s="21">
        <v>1.5309999999999999</v>
      </c>
      <c r="D43" s="21">
        <v>7.1999999999999995E-2</v>
      </c>
      <c r="E43" s="21">
        <v>0.95599999999999996</v>
      </c>
      <c r="F43" s="21">
        <v>0.09</v>
      </c>
      <c r="G43" s="21">
        <v>0.24299999999999999</v>
      </c>
      <c r="H43" s="21">
        <f>SUM(B43:G43)</f>
        <v>10.972</v>
      </c>
      <c r="I43" s="21" t="s">
        <v>340</v>
      </c>
      <c r="J43" s="21" t="s">
        <v>21</v>
      </c>
      <c r="K43" s="21">
        <v>623</v>
      </c>
      <c r="L43" s="21">
        <v>136</v>
      </c>
      <c r="M43" s="21">
        <v>6</v>
      </c>
      <c r="N43" s="21" t="s">
        <v>23</v>
      </c>
      <c r="O43" s="21" t="s">
        <v>45</v>
      </c>
      <c r="P43" s="21" t="s">
        <v>65</v>
      </c>
      <c r="Q43" s="21" t="s">
        <v>66</v>
      </c>
    </row>
    <row r="44" spans="1:17" x14ac:dyDescent="0.3">
      <c r="A44" s="17" t="s">
        <v>222</v>
      </c>
      <c r="B44" s="18">
        <v>4.01</v>
      </c>
      <c r="C44" s="18">
        <v>0.751</v>
      </c>
      <c r="D44" s="18">
        <v>5.8999999999999997E-2</v>
      </c>
      <c r="E44" s="18">
        <v>0.44800000000000001</v>
      </c>
      <c r="F44" s="18">
        <v>7.2999999999999995E-2</v>
      </c>
      <c r="G44" s="18">
        <v>0.23499999999999999</v>
      </c>
      <c r="H44" s="18">
        <f>SUM(B44:G44)</f>
        <v>5.5760000000000014</v>
      </c>
      <c r="I44" s="18" t="s">
        <v>340</v>
      </c>
      <c r="J44" s="18" t="s">
        <v>21</v>
      </c>
      <c r="K44" s="18">
        <v>624</v>
      </c>
      <c r="L44" s="18">
        <v>136</v>
      </c>
      <c r="M44" s="18">
        <v>6</v>
      </c>
      <c r="N44" s="18" t="s">
        <v>23</v>
      </c>
      <c r="O44" s="18" t="s">
        <v>45</v>
      </c>
      <c r="P44" s="18" t="s">
        <v>65</v>
      </c>
      <c r="Q44" s="18" t="s">
        <v>66</v>
      </c>
    </row>
    <row r="45" spans="1:17" ht="15" thickBot="1" x14ac:dyDescent="0.35">
      <c r="A45" s="20" t="s">
        <v>223</v>
      </c>
      <c r="B45" s="21">
        <v>3.4940000000000002</v>
      </c>
      <c r="C45" s="21">
        <v>0.68799999999999994</v>
      </c>
      <c r="D45" s="21">
        <v>0.05</v>
      </c>
      <c r="E45" s="21">
        <v>0.433</v>
      </c>
      <c r="F45" s="21">
        <v>7.2999999999999995E-2</v>
      </c>
      <c r="G45" s="21">
        <v>0.23100000000000001</v>
      </c>
      <c r="H45" s="21">
        <f>SUM(B45:G45)</f>
        <v>4.9690000000000003</v>
      </c>
      <c r="I45" s="21" t="s">
        <v>340</v>
      </c>
      <c r="J45" s="21" t="s">
        <v>21</v>
      </c>
      <c r="K45" s="21">
        <v>624</v>
      </c>
      <c r="L45" s="21">
        <v>136</v>
      </c>
      <c r="M45" s="21">
        <v>6</v>
      </c>
      <c r="N45" s="21" t="s">
        <v>23</v>
      </c>
      <c r="O45" s="21" t="s">
        <v>45</v>
      </c>
      <c r="P45" s="21" t="s">
        <v>65</v>
      </c>
      <c r="Q45" s="21" t="s">
        <v>66</v>
      </c>
    </row>
    <row r="46" spans="1:17" x14ac:dyDescent="0.3">
      <c r="A46" s="17" t="s">
        <v>224</v>
      </c>
      <c r="B46" s="18">
        <v>3.274</v>
      </c>
      <c r="C46" s="18">
        <v>0.67300000000000004</v>
      </c>
      <c r="D46" s="18">
        <v>0.06</v>
      </c>
      <c r="E46" s="18">
        <v>0.39200000000000002</v>
      </c>
      <c r="F46" s="18">
        <v>7.1999999999999995E-2</v>
      </c>
      <c r="G46" s="18">
        <v>0.23100000000000001</v>
      </c>
      <c r="H46" s="18">
        <f>SUM(B46:G46)</f>
        <v>4.702</v>
      </c>
      <c r="I46" s="18" t="s">
        <v>340</v>
      </c>
      <c r="J46" s="18" t="s">
        <v>21</v>
      </c>
      <c r="K46" s="18">
        <v>625</v>
      </c>
      <c r="L46" s="18">
        <v>136</v>
      </c>
      <c r="M46" s="18">
        <v>6</v>
      </c>
      <c r="N46" s="18" t="s">
        <v>23</v>
      </c>
      <c r="O46" s="18" t="s">
        <v>45</v>
      </c>
      <c r="P46" s="18" t="s">
        <v>65</v>
      </c>
      <c r="Q46" s="18" t="s">
        <v>66</v>
      </c>
    </row>
    <row r="47" spans="1:17" ht="15" thickBot="1" x14ac:dyDescent="0.35">
      <c r="A47" s="20" t="s">
        <v>225</v>
      </c>
      <c r="B47" s="21">
        <v>3.0760000000000001</v>
      </c>
      <c r="C47" s="21">
        <v>0.65700000000000003</v>
      </c>
      <c r="D47" s="21">
        <v>5.2999999999999999E-2</v>
      </c>
      <c r="E47" s="21">
        <v>0.39100000000000001</v>
      </c>
      <c r="F47" s="21">
        <v>7.3999999999999996E-2</v>
      </c>
      <c r="G47" s="21">
        <v>0.23200000000000001</v>
      </c>
      <c r="H47" s="21">
        <f>SUM(B47:G47)</f>
        <v>4.4829999999999997</v>
      </c>
      <c r="I47" s="21" t="s">
        <v>340</v>
      </c>
      <c r="J47" s="21" t="s">
        <v>21</v>
      </c>
      <c r="K47" s="21">
        <v>625</v>
      </c>
      <c r="L47" s="21">
        <v>136</v>
      </c>
      <c r="M47" s="21">
        <v>6</v>
      </c>
      <c r="N47" s="21" t="s">
        <v>23</v>
      </c>
      <c r="O47" s="21" t="s">
        <v>45</v>
      </c>
      <c r="P47" s="21" t="s">
        <v>65</v>
      </c>
      <c r="Q47" s="21" t="s">
        <v>66</v>
      </c>
    </row>
    <row r="48" spans="1:17" x14ac:dyDescent="0.3">
      <c r="A48" s="17" t="s">
        <v>226</v>
      </c>
      <c r="B48" s="18">
        <v>3.27</v>
      </c>
      <c r="C48" s="18">
        <v>0.54700000000000004</v>
      </c>
      <c r="D48" s="18">
        <v>4.5999999999999999E-2</v>
      </c>
      <c r="E48" s="18">
        <v>0.35899999999999999</v>
      </c>
      <c r="F48" s="18">
        <v>5.2999999999999999E-2</v>
      </c>
      <c r="G48" s="18">
        <v>0.22500000000000001</v>
      </c>
      <c r="H48" s="18">
        <f>SUM(B48:G48)</f>
        <v>4.4999999999999991</v>
      </c>
      <c r="I48" s="18" t="s">
        <v>340</v>
      </c>
      <c r="J48" s="18" t="s">
        <v>21</v>
      </c>
      <c r="K48" s="18">
        <v>626</v>
      </c>
      <c r="L48" s="18">
        <v>136</v>
      </c>
      <c r="M48" s="18">
        <v>6</v>
      </c>
      <c r="N48" s="18" t="s">
        <v>23</v>
      </c>
      <c r="O48" s="18" t="s">
        <v>45</v>
      </c>
      <c r="P48" s="18" t="s">
        <v>65</v>
      </c>
      <c r="Q48" s="18" t="s">
        <v>66</v>
      </c>
    </row>
    <row r="49" spans="1:17" ht="15" thickBot="1" x14ac:dyDescent="0.35">
      <c r="A49" s="20" t="s">
        <v>227</v>
      </c>
      <c r="B49" s="21">
        <v>3.5539999999999998</v>
      </c>
      <c r="C49" s="21">
        <v>0.59799999999999998</v>
      </c>
      <c r="D49" s="21">
        <v>4.4999999999999998E-2</v>
      </c>
      <c r="E49" s="21">
        <v>0.38300000000000001</v>
      </c>
      <c r="F49" s="21">
        <v>6.2E-2</v>
      </c>
      <c r="G49" s="21">
        <v>0.23400000000000001</v>
      </c>
      <c r="H49" s="21">
        <f>SUM(B49:G49)</f>
        <v>4.8760000000000003</v>
      </c>
      <c r="I49" s="21" t="s">
        <v>340</v>
      </c>
      <c r="J49" s="21" t="s">
        <v>21</v>
      </c>
      <c r="K49" s="21">
        <v>626</v>
      </c>
      <c r="L49" s="21">
        <v>136</v>
      </c>
      <c r="M49" s="21">
        <v>6</v>
      </c>
      <c r="N49" s="21" t="s">
        <v>23</v>
      </c>
      <c r="O49" s="21" t="s">
        <v>45</v>
      </c>
      <c r="P49" s="21" t="s">
        <v>65</v>
      </c>
      <c r="Q49" s="21" t="s">
        <v>66</v>
      </c>
    </row>
    <row r="50" spans="1:17" x14ac:dyDescent="0.3">
      <c r="A50" s="26" t="s">
        <v>228</v>
      </c>
      <c r="B50" s="27">
        <v>1.8480000000000001</v>
      </c>
      <c r="C50" s="27">
        <v>0.55900000000000005</v>
      </c>
      <c r="D50" s="27">
        <v>6.4000000000000001E-2</v>
      </c>
      <c r="E50" s="27">
        <v>0.377</v>
      </c>
      <c r="F50" s="27">
        <v>7.0999999999999994E-2</v>
      </c>
      <c r="G50" s="27">
        <v>0.23499999999999999</v>
      </c>
      <c r="H50" s="27">
        <f>SUM(B50:G50)</f>
        <v>3.1539999999999999</v>
      </c>
      <c r="I50" s="27" t="s">
        <v>340</v>
      </c>
      <c r="J50" s="27" t="s">
        <v>21</v>
      </c>
      <c r="K50" s="27">
        <v>129</v>
      </c>
      <c r="L50" s="27">
        <v>115</v>
      </c>
      <c r="M50" s="27">
        <v>1</v>
      </c>
      <c r="N50" s="27" t="s">
        <v>23</v>
      </c>
      <c r="O50" s="27" t="s">
        <v>45</v>
      </c>
      <c r="P50" s="27">
        <v>1472</v>
      </c>
      <c r="Q50" s="27" t="s">
        <v>85</v>
      </c>
    </row>
    <row r="51" spans="1:17" ht="15" thickBot="1" x14ac:dyDescent="0.35">
      <c r="A51" s="29" t="s">
        <v>229</v>
      </c>
      <c r="B51" s="30">
        <v>2.2519999999999998</v>
      </c>
      <c r="C51" s="30">
        <v>0.55500000000000005</v>
      </c>
      <c r="D51" s="30">
        <v>0.06</v>
      </c>
      <c r="E51" s="30">
        <v>0.39900000000000002</v>
      </c>
      <c r="F51" s="30">
        <v>6.4000000000000001E-2</v>
      </c>
      <c r="G51" s="30">
        <v>0.23499999999999999</v>
      </c>
      <c r="H51" s="30">
        <f>SUM(B51:G51)</f>
        <v>3.5649999999999999</v>
      </c>
      <c r="I51" s="30" t="s">
        <v>340</v>
      </c>
      <c r="J51" s="30" t="s">
        <v>21</v>
      </c>
      <c r="K51" s="30">
        <v>129</v>
      </c>
      <c r="L51" s="30">
        <v>115</v>
      </c>
      <c r="M51" s="30">
        <v>1</v>
      </c>
      <c r="N51" s="30" t="s">
        <v>23</v>
      </c>
      <c r="O51" s="30" t="s">
        <v>45</v>
      </c>
      <c r="P51" s="30">
        <v>1472</v>
      </c>
      <c r="Q51" s="30" t="s">
        <v>85</v>
      </c>
    </row>
    <row r="52" spans="1:17" x14ac:dyDescent="0.3">
      <c r="A52" s="26" t="s">
        <v>230</v>
      </c>
      <c r="B52" s="27">
        <v>0.93700000000000006</v>
      </c>
      <c r="C52" s="27">
        <v>0.31</v>
      </c>
      <c r="D52" s="27">
        <v>4.1000000000000002E-2</v>
      </c>
      <c r="E52" s="27">
        <v>0.255</v>
      </c>
      <c r="F52" s="27">
        <v>4.8000000000000001E-2</v>
      </c>
      <c r="G52" s="27">
        <v>0.214</v>
      </c>
      <c r="H52" s="27">
        <f>SUM(B52:G52)</f>
        <v>1.8050000000000002</v>
      </c>
      <c r="I52" s="27" t="s">
        <v>340</v>
      </c>
      <c r="J52" s="27" t="s">
        <v>21</v>
      </c>
      <c r="K52" s="27">
        <v>244</v>
      </c>
      <c r="L52" s="27">
        <v>120</v>
      </c>
      <c r="M52" s="27">
        <v>2</v>
      </c>
      <c r="N52" s="27" t="s">
        <v>23</v>
      </c>
      <c r="O52" s="27" t="s">
        <v>45</v>
      </c>
      <c r="P52" s="27">
        <v>1472</v>
      </c>
      <c r="Q52" s="27" t="s">
        <v>85</v>
      </c>
    </row>
    <row r="53" spans="1:17" ht="15" thickBot="1" x14ac:dyDescent="0.35">
      <c r="A53" s="29" t="s">
        <v>231</v>
      </c>
      <c r="B53" s="30">
        <v>0.88600000000000001</v>
      </c>
      <c r="C53" s="30">
        <v>0.315</v>
      </c>
      <c r="D53" s="30">
        <v>0.04</v>
      </c>
      <c r="E53" s="30">
        <v>0.25700000000000001</v>
      </c>
      <c r="F53" s="30">
        <v>4.7E-2</v>
      </c>
      <c r="G53" s="30">
        <v>0.215</v>
      </c>
      <c r="H53" s="30">
        <f>SUM(B53:G53)</f>
        <v>1.7600000000000002</v>
      </c>
      <c r="I53" s="30" t="s">
        <v>340</v>
      </c>
      <c r="J53" s="30" t="s">
        <v>21</v>
      </c>
      <c r="K53" s="30">
        <v>244</v>
      </c>
      <c r="L53" s="30">
        <v>120</v>
      </c>
      <c r="M53" s="30">
        <v>2</v>
      </c>
      <c r="N53" s="30" t="s">
        <v>23</v>
      </c>
      <c r="O53" s="30" t="s">
        <v>45</v>
      </c>
      <c r="P53" s="30">
        <v>1472</v>
      </c>
      <c r="Q53" s="30" t="s">
        <v>85</v>
      </c>
    </row>
    <row r="54" spans="1:17" x14ac:dyDescent="0.3">
      <c r="A54" s="26" t="s">
        <v>232</v>
      </c>
      <c r="B54" s="27">
        <v>1.3260000000000001</v>
      </c>
      <c r="C54" s="27">
        <v>0.42</v>
      </c>
      <c r="D54" s="27">
        <v>4.4999999999999998E-2</v>
      </c>
      <c r="E54" s="27">
        <v>0.30399999999999999</v>
      </c>
      <c r="F54" s="27">
        <v>0.05</v>
      </c>
      <c r="G54" s="27">
        <v>0.218</v>
      </c>
      <c r="H54" s="27">
        <f>SUM(B54:G54)</f>
        <v>2.3629999999999995</v>
      </c>
      <c r="I54" s="27" t="s">
        <v>340</v>
      </c>
      <c r="J54" s="27" t="s">
        <v>21</v>
      </c>
      <c r="K54" s="27">
        <v>249</v>
      </c>
      <c r="L54" s="27">
        <v>127</v>
      </c>
      <c r="M54" s="27">
        <v>2</v>
      </c>
      <c r="N54" s="27" t="s">
        <v>23</v>
      </c>
      <c r="O54" s="27" t="s">
        <v>45</v>
      </c>
      <c r="P54" s="27">
        <v>1472</v>
      </c>
      <c r="Q54" s="27" t="s">
        <v>85</v>
      </c>
    </row>
    <row r="55" spans="1:17" ht="15" thickBot="1" x14ac:dyDescent="0.35">
      <c r="A55" s="29" t="s">
        <v>233</v>
      </c>
      <c r="B55" s="30">
        <v>1.1919999999999999</v>
      </c>
      <c r="C55" s="30">
        <v>0.39400000000000002</v>
      </c>
      <c r="D55" s="30">
        <v>4.2999999999999997E-2</v>
      </c>
      <c r="E55" s="30">
        <v>0.30299999999999999</v>
      </c>
      <c r="F55" s="30">
        <v>4.8000000000000001E-2</v>
      </c>
      <c r="G55" s="30">
        <v>0.216</v>
      </c>
      <c r="H55" s="30">
        <f>SUM(B55:G55)</f>
        <v>2.1959999999999997</v>
      </c>
      <c r="I55" s="30" t="s">
        <v>340</v>
      </c>
      <c r="J55" s="30" t="s">
        <v>21</v>
      </c>
      <c r="K55" s="30">
        <v>249</v>
      </c>
      <c r="L55" s="30">
        <v>127</v>
      </c>
      <c r="M55" s="30">
        <v>2</v>
      </c>
      <c r="N55" s="30" t="s">
        <v>23</v>
      </c>
      <c r="O55" s="30" t="s">
        <v>45</v>
      </c>
      <c r="P55" s="30">
        <v>1472</v>
      </c>
      <c r="Q55" s="30" t="s">
        <v>85</v>
      </c>
    </row>
    <row r="56" spans="1:17" x14ac:dyDescent="0.3">
      <c r="A56" s="26" t="s">
        <v>234</v>
      </c>
      <c r="B56" s="27">
        <v>2.411</v>
      </c>
      <c r="C56" s="27">
        <v>0.57499999999999996</v>
      </c>
      <c r="D56" s="27">
        <v>6.6000000000000003E-2</v>
      </c>
      <c r="E56" s="27">
        <v>0.45300000000000001</v>
      </c>
      <c r="F56" s="27">
        <v>7.1999999999999995E-2</v>
      </c>
      <c r="G56" s="27">
        <v>0.23899999999999999</v>
      </c>
      <c r="H56" s="27">
        <f>SUM(B56:G56)</f>
        <v>3.8159999999999994</v>
      </c>
      <c r="I56" s="27" t="s">
        <v>340</v>
      </c>
      <c r="J56" s="27" t="s">
        <v>21</v>
      </c>
      <c r="K56" s="27">
        <v>437</v>
      </c>
      <c r="L56" s="27">
        <v>116</v>
      </c>
      <c r="M56" s="27">
        <v>4</v>
      </c>
      <c r="N56" s="27" t="s">
        <v>23</v>
      </c>
      <c r="O56" s="27" t="s">
        <v>45</v>
      </c>
      <c r="P56" s="27">
        <v>1472</v>
      </c>
      <c r="Q56" s="27" t="s">
        <v>85</v>
      </c>
    </row>
    <row r="57" spans="1:17" ht="15" thickBot="1" x14ac:dyDescent="0.35">
      <c r="A57" s="29" t="s">
        <v>235</v>
      </c>
      <c r="B57" s="30">
        <v>2.3290000000000002</v>
      </c>
      <c r="C57" s="30">
        <v>0.434</v>
      </c>
      <c r="D57" s="30">
        <v>6.4000000000000001E-2</v>
      </c>
      <c r="E57" s="30">
        <v>0.434</v>
      </c>
      <c r="F57" s="30">
        <v>6.8000000000000005E-2</v>
      </c>
      <c r="G57" s="30">
        <v>0.23699999999999999</v>
      </c>
      <c r="H57" s="30">
        <f>SUM(B57:G57)</f>
        <v>3.5660000000000007</v>
      </c>
      <c r="I57" s="30" t="s">
        <v>340</v>
      </c>
      <c r="J57" s="30" t="s">
        <v>21</v>
      </c>
      <c r="K57" s="30">
        <v>437</v>
      </c>
      <c r="L57" s="30">
        <v>116</v>
      </c>
      <c r="M57" s="30">
        <v>4</v>
      </c>
      <c r="N57" s="30" t="s">
        <v>23</v>
      </c>
      <c r="O57" s="30" t="s">
        <v>45</v>
      </c>
      <c r="P57" s="30">
        <v>1472</v>
      </c>
      <c r="Q57" s="30" t="s">
        <v>85</v>
      </c>
    </row>
    <row r="58" spans="1:17" x14ac:dyDescent="0.3">
      <c r="A58" s="26" t="s">
        <v>236</v>
      </c>
      <c r="B58" s="27">
        <v>1.7749999999999999</v>
      </c>
      <c r="C58" s="27">
        <v>0.52</v>
      </c>
      <c r="D58" s="27">
        <v>5.7000000000000002E-2</v>
      </c>
      <c r="E58" s="27">
        <v>0.34300000000000003</v>
      </c>
      <c r="F58" s="27">
        <v>6.3E-2</v>
      </c>
      <c r="G58" s="27">
        <v>0.23200000000000001</v>
      </c>
      <c r="H58" s="27">
        <f>SUM(B58:G58)</f>
        <v>2.99</v>
      </c>
      <c r="I58" s="27" t="s">
        <v>340</v>
      </c>
      <c r="J58" s="27" t="s">
        <v>21</v>
      </c>
      <c r="K58" s="27">
        <v>502</v>
      </c>
      <c r="L58" s="27">
        <v>130</v>
      </c>
      <c r="M58" s="27">
        <v>5</v>
      </c>
      <c r="N58" s="27" t="s">
        <v>23</v>
      </c>
      <c r="O58" s="27" t="s">
        <v>45</v>
      </c>
      <c r="P58" s="27">
        <v>1472</v>
      </c>
      <c r="Q58" s="27" t="s">
        <v>85</v>
      </c>
    </row>
    <row r="59" spans="1:17" ht="15" thickBot="1" x14ac:dyDescent="0.35">
      <c r="A59" s="29" t="s">
        <v>237</v>
      </c>
      <c r="B59" s="30">
        <v>1.7150000000000001</v>
      </c>
      <c r="C59" s="30">
        <v>0.49399999999999999</v>
      </c>
      <c r="D59" s="30">
        <v>5.3999999999999999E-2</v>
      </c>
      <c r="E59" s="30">
        <v>0.33200000000000002</v>
      </c>
      <c r="F59" s="30">
        <v>5.7000000000000002E-2</v>
      </c>
      <c r="G59" s="30">
        <v>0.22800000000000001</v>
      </c>
      <c r="H59" s="30">
        <f>SUM(B59:G59)</f>
        <v>2.88</v>
      </c>
      <c r="I59" s="30" t="s">
        <v>340</v>
      </c>
      <c r="J59" s="30" t="s">
        <v>21</v>
      </c>
      <c r="K59" s="30">
        <v>502</v>
      </c>
      <c r="L59" s="30">
        <v>130</v>
      </c>
      <c r="M59" s="30">
        <v>5</v>
      </c>
      <c r="N59" s="30" t="s">
        <v>23</v>
      </c>
      <c r="O59" s="30" t="s">
        <v>45</v>
      </c>
      <c r="P59" s="30">
        <v>1472</v>
      </c>
      <c r="Q59" s="30" t="s">
        <v>85</v>
      </c>
    </row>
    <row r="60" spans="1:17" x14ac:dyDescent="0.3">
      <c r="A60" s="26" t="s">
        <v>238</v>
      </c>
      <c r="B60" s="27">
        <v>1.667</v>
      </c>
      <c r="C60" s="27">
        <v>0.56499999999999995</v>
      </c>
      <c r="D60" s="27">
        <v>6.5000000000000002E-2</v>
      </c>
      <c r="E60" s="27">
        <v>0.33800000000000002</v>
      </c>
      <c r="F60" s="27">
        <v>6.9000000000000006E-2</v>
      </c>
      <c r="G60" s="27">
        <v>0.22700000000000001</v>
      </c>
      <c r="H60" s="27">
        <f>SUM(B60:G60)</f>
        <v>2.931</v>
      </c>
      <c r="I60" s="27" t="s">
        <v>340</v>
      </c>
      <c r="J60" s="27" t="s">
        <v>21</v>
      </c>
      <c r="K60" s="27">
        <v>504</v>
      </c>
      <c r="L60" s="27">
        <v>130</v>
      </c>
      <c r="M60" s="27">
        <v>5</v>
      </c>
      <c r="N60" s="27" t="s">
        <v>23</v>
      </c>
      <c r="O60" s="27" t="s">
        <v>45</v>
      </c>
      <c r="P60" s="27">
        <v>1472</v>
      </c>
      <c r="Q60" s="27" t="s">
        <v>85</v>
      </c>
    </row>
    <row r="61" spans="1:17" ht="15" thickBot="1" x14ac:dyDescent="0.35">
      <c r="A61" s="29" t="s">
        <v>239</v>
      </c>
      <c r="B61" s="30">
        <v>1.6160000000000001</v>
      </c>
      <c r="C61" s="30">
        <v>0.54500000000000004</v>
      </c>
      <c r="D61" s="30">
        <v>6.3E-2</v>
      </c>
      <c r="E61" s="30">
        <v>0.32300000000000001</v>
      </c>
      <c r="F61" s="30">
        <v>6.6000000000000003E-2</v>
      </c>
      <c r="G61" s="30">
        <v>0.224</v>
      </c>
      <c r="H61" s="30">
        <f>SUM(B61:G61)</f>
        <v>2.8370000000000002</v>
      </c>
      <c r="I61" s="30" t="s">
        <v>340</v>
      </c>
      <c r="J61" s="30" t="s">
        <v>21</v>
      </c>
      <c r="K61" s="30">
        <v>504</v>
      </c>
      <c r="L61" s="30">
        <v>130</v>
      </c>
      <c r="M61" s="30">
        <v>5</v>
      </c>
      <c r="N61" s="30" t="s">
        <v>23</v>
      </c>
      <c r="O61" s="30" t="s">
        <v>45</v>
      </c>
      <c r="P61" s="30">
        <v>1472</v>
      </c>
      <c r="Q61" s="30" t="s">
        <v>85</v>
      </c>
    </row>
    <row r="62" spans="1:17" x14ac:dyDescent="0.3">
      <c r="A62" s="26" t="s">
        <v>240</v>
      </c>
      <c r="B62" s="27">
        <v>2.1120000000000001</v>
      </c>
      <c r="C62" s="27">
        <v>0.52200000000000002</v>
      </c>
      <c r="D62" s="27">
        <v>0.06</v>
      </c>
      <c r="E62" s="27">
        <v>0.47299999999999998</v>
      </c>
      <c r="F62" s="27">
        <v>7.1999999999999995E-2</v>
      </c>
      <c r="G62" s="27">
        <v>0.23899999999999999</v>
      </c>
      <c r="H62" s="27">
        <f>SUM(B62:G62)</f>
        <v>3.4780000000000002</v>
      </c>
      <c r="I62" s="27" t="s">
        <v>340</v>
      </c>
      <c r="J62" s="27" t="s">
        <v>21</v>
      </c>
      <c r="K62" s="27">
        <v>632</v>
      </c>
      <c r="L62" s="27">
        <v>135</v>
      </c>
      <c r="M62" s="27">
        <v>6</v>
      </c>
      <c r="N62" s="27" t="s">
        <v>23</v>
      </c>
      <c r="O62" s="27" t="s">
        <v>45</v>
      </c>
      <c r="P62" s="27">
        <v>1472</v>
      </c>
      <c r="Q62" s="27" t="s">
        <v>85</v>
      </c>
    </row>
    <row r="63" spans="1:17" ht="15" thickBot="1" x14ac:dyDescent="0.35">
      <c r="A63" s="29" t="s">
        <v>241</v>
      </c>
      <c r="B63" s="30">
        <v>2.2669999999999999</v>
      </c>
      <c r="C63" s="30">
        <v>0.52900000000000003</v>
      </c>
      <c r="D63" s="30">
        <v>6.2E-2</v>
      </c>
      <c r="E63" s="30">
        <v>0.48</v>
      </c>
      <c r="F63" s="30">
        <v>7.0000000000000007E-2</v>
      </c>
      <c r="G63" s="30">
        <v>0.24</v>
      </c>
      <c r="H63" s="30">
        <f>SUM(B63:G63)</f>
        <v>3.6479999999999997</v>
      </c>
      <c r="I63" s="30" t="s">
        <v>340</v>
      </c>
      <c r="J63" s="30" t="s">
        <v>21</v>
      </c>
      <c r="K63" s="30">
        <v>632</v>
      </c>
      <c r="L63" s="30">
        <v>135</v>
      </c>
      <c r="M63" s="30">
        <v>6</v>
      </c>
      <c r="N63" s="30" t="s">
        <v>23</v>
      </c>
      <c r="O63" s="30" t="s">
        <v>45</v>
      </c>
      <c r="P63" s="30">
        <v>1472</v>
      </c>
      <c r="Q63" s="30" t="s">
        <v>85</v>
      </c>
    </row>
    <row r="64" spans="1:17" x14ac:dyDescent="0.3">
      <c r="A64" s="26" t="s">
        <v>242</v>
      </c>
      <c r="B64" s="27">
        <v>2.5739999999999998</v>
      </c>
      <c r="C64" s="27">
        <v>0.56399999999999995</v>
      </c>
      <c r="D64" s="27">
        <v>6.8000000000000005E-2</v>
      </c>
      <c r="E64" s="27">
        <v>0.496</v>
      </c>
      <c r="F64" s="27">
        <v>7.5999999999999998E-2</v>
      </c>
      <c r="G64" s="27">
        <v>0.24099999999999999</v>
      </c>
      <c r="H64" s="27">
        <f>SUM(B64:G64)</f>
        <v>4.0190000000000001</v>
      </c>
      <c r="I64" s="27" t="s">
        <v>340</v>
      </c>
      <c r="J64" s="27" t="s">
        <v>21</v>
      </c>
      <c r="K64" s="27">
        <v>633</v>
      </c>
      <c r="L64" s="27">
        <v>135</v>
      </c>
      <c r="M64" s="27">
        <v>6</v>
      </c>
      <c r="N64" s="27" t="s">
        <v>23</v>
      </c>
      <c r="O64" s="27" t="s">
        <v>45</v>
      </c>
      <c r="P64" s="27">
        <v>1472</v>
      </c>
      <c r="Q64" s="27" t="s">
        <v>85</v>
      </c>
    </row>
    <row r="65" spans="1:17" ht="15" thickBot="1" x14ac:dyDescent="0.35">
      <c r="A65" s="29" t="s">
        <v>243</v>
      </c>
      <c r="B65" s="30">
        <v>2.6680000000000001</v>
      </c>
      <c r="C65" s="30">
        <v>0.55500000000000005</v>
      </c>
      <c r="D65" s="30">
        <v>6.9000000000000006E-2</v>
      </c>
      <c r="E65" s="30">
        <v>0.497</v>
      </c>
      <c r="F65" s="30">
        <v>7.9000000000000001E-2</v>
      </c>
      <c r="G65" s="30">
        <v>0.24199999999999999</v>
      </c>
      <c r="H65" s="30">
        <f>SUM(B65:G65)</f>
        <v>4.1100000000000003</v>
      </c>
      <c r="I65" s="30" t="s">
        <v>340</v>
      </c>
      <c r="J65" s="30" t="s">
        <v>21</v>
      </c>
      <c r="K65" s="30">
        <v>633</v>
      </c>
      <c r="L65" s="30">
        <v>135</v>
      </c>
      <c r="M65" s="30">
        <v>6</v>
      </c>
      <c r="N65" s="30" t="s">
        <v>23</v>
      </c>
      <c r="O65" s="30" t="s">
        <v>45</v>
      </c>
      <c r="P65" s="30">
        <v>1472</v>
      </c>
      <c r="Q65" s="30" t="s">
        <v>85</v>
      </c>
    </row>
    <row r="66" spans="1:17" x14ac:dyDescent="0.3">
      <c r="A66" s="26" t="s">
        <v>244</v>
      </c>
      <c r="B66" s="27">
        <v>1.81</v>
      </c>
      <c r="C66" s="27">
        <v>0.40899999999999997</v>
      </c>
      <c r="D66" s="27">
        <v>0.05</v>
      </c>
      <c r="E66" s="27">
        <v>0.38800000000000001</v>
      </c>
      <c r="F66" s="27">
        <v>5.8999999999999997E-2</v>
      </c>
      <c r="G66" s="27">
        <v>0.22900000000000001</v>
      </c>
      <c r="H66" s="27">
        <f>SUM(B66:G66)</f>
        <v>2.9449999999999998</v>
      </c>
      <c r="I66" s="27" t="s">
        <v>340</v>
      </c>
      <c r="J66" s="27" t="s">
        <v>21</v>
      </c>
      <c r="K66" s="27">
        <v>634</v>
      </c>
      <c r="L66" s="27">
        <v>135</v>
      </c>
      <c r="M66" s="27">
        <v>6</v>
      </c>
      <c r="N66" s="27" t="s">
        <v>23</v>
      </c>
      <c r="O66" s="27" t="s">
        <v>45</v>
      </c>
      <c r="P66" s="27">
        <v>1472</v>
      </c>
      <c r="Q66" s="27" t="s">
        <v>85</v>
      </c>
    </row>
    <row r="67" spans="1:17" ht="15" thickBot="1" x14ac:dyDescent="0.35">
      <c r="A67" s="29" t="s">
        <v>245</v>
      </c>
      <c r="B67" s="30">
        <v>1.7749999999999999</v>
      </c>
      <c r="C67" s="30">
        <v>0.39100000000000001</v>
      </c>
      <c r="D67" s="30">
        <v>4.8000000000000001E-2</v>
      </c>
      <c r="E67" s="30">
        <v>0.38100000000000001</v>
      </c>
      <c r="F67" s="30">
        <v>5.8000000000000003E-2</v>
      </c>
      <c r="G67" s="30">
        <v>0.22700000000000001</v>
      </c>
      <c r="H67" s="30">
        <f>SUM(B67:G67)</f>
        <v>2.8799999999999994</v>
      </c>
      <c r="I67" s="30" t="s">
        <v>340</v>
      </c>
      <c r="J67" s="30" t="s">
        <v>21</v>
      </c>
      <c r="K67" s="30">
        <v>634</v>
      </c>
      <c r="L67" s="30">
        <v>135</v>
      </c>
      <c r="M67" s="30">
        <v>6</v>
      </c>
      <c r="N67" s="30" t="s">
        <v>23</v>
      </c>
      <c r="O67" s="30" t="s">
        <v>45</v>
      </c>
      <c r="P67" s="30">
        <v>1472</v>
      </c>
      <c r="Q67" s="30" t="s">
        <v>85</v>
      </c>
    </row>
    <row r="68" spans="1:17" x14ac:dyDescent="0.3">
      <c r="A68" s="5" t="s">
        <v>246</v>
      </c>
      <c r="B68" s="6">
        <v>2.6219999999999999</v>
      </c>
      <c r="C68" s="6">
        <v>0.55200000000000005</v>
      </c>
      <c r="D68" s="6">
        <v>4.9000000000000002E-2</v>
      </c>
      <c r="E68" s="6">
        <v>0.35799999999999998</v>
      </c>
      <c r="F68" s="6">
        <v>6.2E-2</v>
      </c>
      <c r="G68" s="6">
        <v>0.22900000000000001</v>
      </c>
      <c r="H68" s="6">
        <f>SUM(B68:G68)</f>
        <v>3.8719999999999999</v>
      </c>
      <c r="I68" s="6" t="s">
        <v>340</v>
      </c>
      <c r="J68" s="6" t="s">
        <v>21</v>
      </c>
      <c r="K68" s="6">
        <v>107</v>
      </c>
      <c r="L68" s="6">
        <v>105</v>
      </c>
      <c r="M68" s="6">
        <v>1</v>
      </c>
      <c r="N68" s="6" t="s">
        <v>107</v>
      </c>
      <c r="O68" s="6" t="s">
        <v>24</v>
      </c>
      <c r="P68" s="6" t="s">
        <v>25</v>
      </c>
      <c r="Q68" s="6" t="s">
        <v>26</v>
      </c>
    </row>
    <row r="69" spans="1:17" ht="15" thickBot="1" x14ac:dyDescent="0.35">
      <c r="A69" s="8" t="s">
        <v>247</v>
      </c>
      <c r="B69" s="9">
        <v>2.1219999999999999</v>
      </c>
      <c r="C69" s="9">
        <v>0.48599999999999999</v>
      </c>
      <c r="D69" s="9">
        <v>4.7E-2</v>
      </c>
      <c r="E69" s="9">
        <v>0.32</v>
      </c>
      <c r="F69" s="9">
        <v>5.5E-2</v>
      </c>
      <c r="G69" s="9">
        <v>0.22700000000000001</v>
      </c>
      <c r="H69" s="9">
        <f>SUM(B69:G69)</f>
        <v>3.2569999999999997</v>
      </c>
      <c r="I69" s="9" t="s">
        <v>340</v>
      </c>
      <c r="J69" s="9" t="s">
        <v>21</v>
      </c>
      <c r="K69" s="9">
        <v>107</v>
      </c>
      <c r="L69" s="9">
        <v>105</v>
      </c>
      <c r="M69" s="9">
        <v>1</v>
      </c>
      <c r="N69" s="9" t="s">
        <v>107</v>
      </c>
      <c r="O69" s="9" t="s">
        <v>24</v>
      </c>
      <c r="P69" s="9" t="s">
        <v>25</v>
      </c>
      <c r="Q69" s="9" t="s">
        <v>26</v>
      </c>
    </row>
    <row r="70" spans="1:17" x14ac:dyDescent="0.3">
      <c r="A70" s="5" t="s">
        <v>248</v>
      </c>
      <c r="B70" s="6">
        <v>2.46</v>
      </c>
      <c r="C70" s="6">
        <v>0.56499999999999995</v>
      </c>
      <c r="D70" s="6">
        <v>6.0999999999999999E-2</v>
      </c>
      <c r="E70" s="6">
        <v>0.36899999999999999</v>
      </c>
      <c r="F70" s="6">
        <v>6.2E-2</v>
      </c>
      <c r="G70" s="6">
        <v>0.22900000000000001</v>
      </c>
      <c r="H70" s="6">
        <f>SUM(B70:G70)</f>
        <v>3.746</v>
      </c>
      <c r="I70" s="6" t="s">
        <v>340</v>
      </c>
      <c r="J70" s="6" t="s">
        <v>21</v>
      </c>
      <c r="K70" s="6">
        <v>118</v>
      </c>
      <c r="L70" s="6">
        <v>104</v>
      </c>
      <c r="M70" s="6">
        <v>1</v>
      </c>
      <c r="N70" s="6" t="s">
        <v>107</v>
      </c>
      <c r="O70" s="6" t="s">
        <v>24</v>
      </c>
      <c r="P70" s="6" t="s">
        <v>25</v>
      </c>
      <c r="Q70" s="6" t="s">
        <v>26</v>
      </c>
    </row>
    <row r="71" spans="1:17" ht="15" thickBot="1" x14ac:dyDescent="0.35">
      <c r="A71" s="8" t="s">
        <v>249</v>
      </c>
      <c r="B71" s="9">
        <v>2.625</v>
      </c>
      <c r="C71" s="9">
        <v>0.56499999999999995</v>
      </c>
      <c r="D71" s="9">
        <v>0.06</v>
      </c>
      <c r="E71" s="9">
        <v>0.36599999999999999</v>
      </c>
      <c r="F71" s="9">
        <v>6.2E-2</v>
      </c>
      <c r="G71" s="9">
        <v>0.22800000000000001</v>
      </c>
      <c r="H71" s="9">
        <f>SUM(B71:G71)</f>
        <v>3.9060000000000001</v>
      </c>
      <c r="I71" s="9" t="s">
        <v>340</v>
      </c>
      <c r="J71" s="9" t="s">
        <v>21</v>
      </c>
      <c r="K71" s="9">
        <v>118</v>
      </c>
      <c r="L71" s="9">
        <v>104</v>
      </c>
      <c r="M71" s="9">
        <v>1</v>
      </c>
      <c r="N71" s="9" t="s">
        <v>107</v>
      </c>
      <c r="O71" s="9" t="s">
        <v>24</v>
      </c>
      <c r="P71" s="9" t="s">
        <v>25</v>
      </c>
      <c r="Q71" s="9" t="s">
        <v>26</v>
      </c>
    </row>
    <row r="72" spans="1:17" x14ac:dyDescent="0.3">
      <c r="A72" s="5" t="s">
        <v>250</v>
      </c>
      <c r="B72" s="6">
        <v>1.264</v>
      </c>
      <c r="C72" s="6">
        <v>0.36599999999999999</v>
      </c>
      <c r="D72" s="6">
        <v>4.2000000000000003E-2</v>
      </c>
      <c r="E72" s="6">
        <v>0.28100000000000003</v>
      </c>
      <c r="F72" s="6">
        <v>5.1999999999999998E-2</v>
      </c>
      <c r="G72" s="6">
        <v>0.22</v>
      </c>
      <c r="H72" s="6">
        <f>SUM(B72:G72)</f>
        <v>2.2250000000000001</v>
      </c>
      <c r="I72" s="6" t="s">
        <v>340</v>
      </c>
      <c r="J72" s="6" t="s">
        <v>21</v>
      </c>
      <c r="K72" s="6">
        <v>203</v>
      </c>
      <c r="L72" s="6">
        <v>117</v>
      </c>
      <c r="M72" s="6">
        <v>2</v>
      </c>
      <c r="N72" s="6" t="s">
        <v>107</v>
      </c>
      <c r="O72" s="6" t="s">
        <v>24</v>
      </c>
      <c r="P72" s="6" t="s">
        <v>25</v>
      </c>
      <c r="Q72" s="6" t="s">
        <v>26</v>
      </c>
    </row>
    <row r="73" spans="1:17" ht="15" thickBot="1" x14ac:dyDescent="0.35">
      <c r="A73" s="8" t="s">
        <v>251</v>
      </c>
      <c r="B73" s="9">
        <v>1.0720000000000001</v>
      </c>
      <c r="C73" s="9">
        <v>0.33400000000000002</v>
      </c>
      <c r="D73" s="9">
        <v>3.9E-2</v>
      </c>
      <c r="E73" s="9">
        <v>0.26600000000000001</v>
      </c>
      <c r="F73" s="9">
        <v>4.9000000000000002E-2</v>
      </c>
      <c r="G73" s="9">
        <v>0.216</v>
      </c>
      <c r="H73" s="9">
        <f>SUM(B73:G73)</f>
        <v>1.976</v>
      </c>
      <c r="I73" s="9" t="s">
        <v>340</v>
      </c>
      <c r="J73" s="9" t="s">
        <v>21</v>
      </c>
      <c r="K73" s="9">
        <v>203</v>
      </c>
      <c r="L73" s="9">
        <v>117</v>
      </c>
      <c r="M73" s="9">
        <v>2</v>
      </c>
      <c r="N73" s="9" t="s">
        <v>107</v>
      </c>
      <c r="O73" s="9" t="s">
        <v>24</v>
      </c>
      <c r="P73" s="9" t="s">
        <v>25</v>
      </c>
      <c r="Q73" s="9" t="s">
        <v>26</v>
      </c>
    </row>
    <row r="74" spans="1:17" x14ac:dyDescent="0.3">
      <c r="A74" s="5" t="s">
        <v>252</v>
      </c>
      <c r="B74" s="6">
        <v>2.6059999999999999</v>
      </c>
      <c r="C74" s="6">
        <v>0.57899999999999996</v>
      </c>
      <c r="D74" s="6">
        <v>6.9000000000000006E-2</v>
      </c>
      <c r="E74" s="6">
        <v>0.42</v>
      </c>
      <c r="F74" s="6">
        <v>7.5999999999999998E-2</v>
      </c>
      <c r="G74" s="6">
        <v>0.23699999999999999</v>
      </c>
      <c r="H74" s="6">
        <f>SUM(B74:G74)</f>
        <v>3.9869999999999997</v>
      </c>
      <c r="I74" s="6" t="s">
        <v>340</v>
      </c>
      <c r="J74" s="6" t="s">
        <v>21</v>
      </c>
      <c r="K74" s="6">
        <v>404</v>
      </c>
      <c r="L74" s="6">
        <v>129</v>
      </c>
      <c r="M74" s="6">
        <v>4</v>
      </c>
      <c r="N74" s="6" t="s">
        <v>107</v>
      </c>
      <c r="O74" s="6" t="s">
        <v>24</v>
      </c>
      <c r="P74" s="6" t="s">
        <v>25</v>
      </c>
      <c r="Q74" s="6" t="s">
        <v>26</v>
      </c>
    </row>
    <row r="75" spans="1:17" ht="15" thickBot="1" x14ac:dyDescent="0.35">
      <c r="A75" s="8" t="s">
        <v>253</v>
      </c>
      <c r="B75" s="9">
        <v>2.6930000000000001</v>
      </c>
      <c r="C75" s="9">
        <v>0.56100000000000005</v>
      </c>
      <c r="D75" s="9">
        <v>6.7000000000000004E-2</v>
      </c>
      <c r="E75" s="9">
        <v>0.40699999999999997</v>
      </c>
      <c r="F75" s="9">
        <v>7.0999999999999994E-2</v>
      </c>
      <c r="G75" s="9">
        <v>0.23499999999999999</v>
      </c>
      <c r="H75" s="9">
        <f>SUM(B75:G75)</f>
        <v>4.0340000000000007</v>
      </c>
      <c r="I75" s="9" t="s">
        <v>340</v>
      </c>
      <c r="J75" s="9" t="s">
        <v>21</v>
      </c>
      <c r="K75" s="9">
        <v>404</v>
      </c>
      <c r="L75" s="9">
        <v>129</v>
      </c>
      <c r="M75" s="9">
        <v>4</v>
      </c>
      <c r="N75" s="9" t="s">
        <v>107</v>
      </c>
      <c r="O75" s="9" t="s">
        <v>24</v>
      </c>
      <c r="P75" s="9" t="s">
        <v>25</v>
      </c>
      <c r="Q75" s="9" t="s">
        <v>26</v>
      </c>
    </row>
    <row r="76" spans="1:17" x14ac:dyDescent="0.3">
      <c r="A76" s="5" t="s">
        <v>254</v>
      </c>
      <c r="B76" s="6"/>
      <c r="C76" s="6"/>
      <c r="D76" s="6"/>
      <c r="E76" s="6"/>
      <c r="F76" s="6"/>
      <c r="G76" s="6"/>
      <c r="H76" s="6">
        <f>SUM(B76:G76)</f>
        <v>0</v>
      </c>
      <c r="I76" s="6" t="s">
        <v>340</v>
      </c>
      <c r="J76" s="6" t="s">
        <v>21</v>
      </c>
      <c r="K76" s="6">
        <v>406</v>
      </c>
      <c r="L76" s="6">
        <v>129</v>
      </c>
      <c r="M76" s="6">
        <v>4</v>
      </c>
      <c r="N76" s="6" t="s">
        <v>107</v>
      </c>
      <c r="O76" s="6" t="s">
        <v>24</v>
      </c>
      <c r="P76" s="6" t="s">
        <v>25</v>
      </c>
      <c r="Q76" s="6" t="s">
        <v>26</v>
      </c>
    </row>
    <row r="77" spans="1:17" ht="15" thickBot="1" x14ac:dyDescent="0.35">
      <c r="A77" s="8" t="s">
        <v>255</v>
      </c>
      <c r="B77" s="9">
        <v>2.5129999999999999</v>
      </c>
      <c r="C77" s="9">
        <v>0.47799999999999998</v>
      </c>
      <c r="D77" s="9">
        <v>5.8000000000000003E-2</v>
      </c>
      <c r="E77" s="9">
        <v>0.41</v>
      </c>
      <c r="F77" s="9">
        <v>6.6000000000000003E-2</v>
      </c>
      <c r="G77" s="9">
        <v>0.23</v>
      </c>
      <c r="H77" s="9">
        <f>SUM(B77:G77)</f>
        <v>3.7549999999999994</v>
      </c>
      <c r="I77" s="9" t="s">
        <v>340</v>
      </c>
      <c r="J77" s="9" t="s">
        <v>21</v>
      </c>
      <c r="K77" s="9">
        <v>406</v>
      </c>
      <c r="L77" s="9">
        <v>129</v>
      </c>
      <c r="M77" s="9">
        <v>4</v>
      </c>
      <c r="N77" s="9" t="s">
        <v>107</v>
      </c>
      <c r="O77" s="9" t="s">
        <v>24</v>
      </c>
      <c r="P77" s="9" t="s">
        <v>25</v>
      </c>
      <c r="Q77" s="9" t="s">
        <v>26</v>
      </c>
    </row>
    <row r="78" spans="1:17" x14ac:dyDescent="0.3">
      <c r="A78" s="5" t="s">
        <v>256</v>
      </c>
      <c r="B78" s="6">
        <v>3.2709999999999999</v>
      </c>
      <c r="C78" s="6">
        <v>0.60299999999999998</v>
      </c>
      <c r="D78" s="6">
        <v>6.9000000000000006E-2</v>
      </c>
      <c r="E78" s="6">
        <v>0.44600000000000001</v>
      </c>
      <c r="F78" s="6">
        <v>8.1000000000000003E-2</v>
      </c>
      <c r="G78" s="6">
        <v>0.23899999999999999</v>
      </c>
      <c r="H78" s="6">
        <f>SUM(B78:G78)</f>
        <v>4.7089999999999996</v>
      </c>
      <c r="I78" s="6" t="s">
        <v>340</v>
      </c>
      <c r="J78" s="6" t="s">
        <v>21</v>
      </c>
      <c r="K78" s="6">
        <v>414</v>
      </c>
      <c r="L78" s="6">
        <v>113</v>
      </c>
      <c r="M78" s="6">
        <v>4</v>
      </c>
      <c r="N78" s="6" t="s">
        <v>107</v>
      </c>
      <c r="O78" s="6" t="s">
        <v>24</v>
      </c>
      <c r="P78" s="6" t="s">
        <v>25</v>
      </c>
      <c r="Q78" s="6" t="s">
        <v>26</v>
      </c>
    </row>
    <row r="79" spans="1:17" ht="15" thickBot="1" x14ac:dyDescent="0.35">
      <c r="A79" s="8" t="s">
        <v>257</v>
      </c>
      <c r="B79" s="9">
        <v>3.3660000000000001</v>
      </c>
      <c r="C79" s="9">
        <v>0.61</v>
      </c>
      <c r="D79" s="9">
        <v>6.9000000000000006E-2</v>
      </c>
      <c r="E79" s="9">
        <v>0.45500000000000002</v>
      </c>
      <c r="F79" s="9">
        <v>7.6999999999999999E-2</v>
      </c>
      <c r="G79" s="9">
        <v>0.24</v>
      </c>
      <c r="H79" s="9">
        <f>SUM(B79:G79)</f>
        <v>4.8170000000000002</v>
      </c>
      <c r="I79" s="9" t="s">
        <v>340</v>
      </c>
      <c r="J79" s="9" t="s">
        <v>21</v>
      </c>
      <c r="K79" s="9">
        <v>414</v>
      </c>
      <c r="L79" s="9">
        <v>113</v>
      </c>
      <c r="M79" s="9">
        <v>4</v>
      </c>
      <c r="N79" s="9" t="s">
        <v>107</v>
      </c>
      <c r="O79" s="9" t="s">
        <v>24</v>
      </c>
      <c r="P79" s="9" t="s">
        <v>25</v>
      </c>
      <c r="Q79" s="9" t="s">
        <v>26</v>
      </c>
    </row>
    <row r="80" spans="1:17" x14ac:dyDescent="0.3">
      <c r="A80" s="5" t="s">
        <v>258</v>
      </c>
      <c r="B80" s="6">
        <v>2.2189999999999999</v>
      </c>
      <c r="C80" s="6">
        <v>0.47799999999999998</v>
      </c>
      <c r="D80" s="6">
        <v>5.6000000000000001E-2</v>
      </c>
      <c r="E80" s="6">
        <v>0.36199999999999999</v>
      </c>
      <c r="F80" s="6">
        <v>0.06</v>
      </c>
      <c r="G80" s="6">
        <v>0.224</v>
      </c>
      <c r="H80" s="6">
        <f>SUM(B80:G80)</f>
        <v>3.3990000000000005</v>
      </c>
      <c r="I80" s="6" t="s">
        <v>340</v>
      </c>
      <c r="J80" s="6" t="s">
        <v>21</v>
      </c>
      <c r="K80" s="6">
        <v>415</v>
      </c>
      <c r="L80" s="6">
        <v>113</v>
      </c>
      <c r="M80" s="6">
        <v>4</v>
      </c>
      <c r="N80" s="6" t="s">
        <v>107</v>
      </c>
      <c r="O80" s="6" t="s">
        <v>24</v>
      </c>
      <c r="P80" s="6" t="s">
        <v>25</v>
      </c>
      <c r="Q80" s="6" t="s">
        <v>26</v>
      </c>
    </row>
    <row r="81" spans="1:17" ht="15" thickBot="1" x14ac:dyDescent="0.35">
      <c r="A81" s="8" t="s">
        <v>259</v>
      </c>
      <c r="B81" s="9">
        <v>2.2639999999999998</v>
      </c>
      <c r="C81" s="9">
        <v>0.48199999999999998</v>
      </c>
      <c r="D81" s="9">
        <v>5.6000000000000001E-2</v>
      </c>
      <c r="E81" s="9">
        <v>0.35899999999999999</v>
      </c>
      <c r="F81" s="9">
        <v>6.2E-2</v>
      </c>
      <c r="G81" s="9">
        <v>0.22500000000000001</v>
      </c>
      <c r="H81" s="9">
        <f>SUM(B81:G81)</f>
        <v>3.4479999999999995</v>
      </c>
      <c r="I81" s="9" t="s">
        <v>340</v>
      </c>
      <c r="J81" s="9" t="s">
        <v>21</v>
      </c>
      <c r="K81" s="9">
        <v>415</v>
      </c>
      <c r="L81" s="9">
        <v>113</v>
      </c>
      <c r="M81" s="9">
        <v>4</v>
      </c>
      <c r="N81" s="9" t="s">
        <v>107</v>
      </c>
      <c r="O81" s="9" t="s">
        <v>24</v>
      </c>
      <c r="P81" s="9" t="s">
        <v>25</v>
      </c>
      <c r="Q81" s="9" t="s">
        <v>26</v>
      </c>
    </row>
    <row r="82" spans="1:17" x14ac:dyDescent="0.3">
      <c r="A82" s="5" t="s">
        <v>260</v>
      </c>
      <c r="B82" s="6">
        <v>1.522</v>
      </c>
      <c r="C82" s="6">
        <v>0.39100000000000001</v>
      </c>
      <c r="D82" s="6">
        <v>4.2999999999999997E-2</v>
      </c>
      <c r="E82" s="6">
        <v>0.313</v>
      </c>
      <c r="F82" s="6">
        <v>5.1999999999999998E-2</v>
      </c>
      <c r="G82" s="6">
        <v>0.22</v>
      </c>
      <c r="H82" s="6">
        <f>SUM(B82:G82)</f>
        <v>2.5410000000000004</v>
      </c>
      <c r="I82" s="6" t="s">
        <v>340</v>
      </c>
      <c r="J82" s="6" t="s">
        <v>21</v>
      </c>
      <c r="K82" s="6">
        <v>416</v>
      </c>
      <c r="L82" s="6">
        <v>113</v>
      </c>
      <c r="M82" s="6">
        <v>4</v>
      </c>
      <c r="N82" s="6" t="s">
        <v>107</v>
      </c>
      <c r="O82" s="6" t="s">
        <v>24</v>
      </c>
      <c r="P82" s="6" t="s">
        <v>25</v>
      </c>
      <c r="Q82" s="6" t="s">
        <v>26</v>
      </c>
    </row>
    <row r="83" spans="1:17" ht="15" thickBot="1" x14ac:dyDescent="0.35">
      <c r="A83" s="8" t="s">
        <v>261</v>
      </c>
      <c r="B83" s="9">
        <v>1.554</v>
      </c>
      <c r="C83" s="9">
        <v>0.312</v>
      </c>
      <c r="D83" s="9">
        <v>4.3999999999999997E-2</v>
      </c>
      <c r="E83" s="9">
        <v>0.312</v>
      </c>
      <c r="F83" s="9">
        <v>5.1999999999999998E-2</v>
      </c>
      <c r="G83" s="9">
        <v>0.221</v>
      </c>
      <c r="H83" s="9">
        <f>SUM(B83:G83)</f>
        <v>2.4950000000000001</v>
      </c>
      <c r="I83" s="9" t="s">
        <v>340</v>
      </c>
      <c r="J83" s="9" t="s">
        <v>21</v>
      </c>
      <c r="K83" s="9">
        <v>416</v>
      </c>
      <c r="L83" s="9">
        <v>113</v>
      </c>
      <c r="M83" s="9">
        <v>4</v>
      </c>
      <c r="N83" s="9" t="s">
        <v>107</v>
      </c>
      <c r="O83" s="9" t="s">
        <v>24</v>
      </c>
      <c r="P83" s="9" t="s">
        <v>25</v>
      </c>
      <c r="Q83" s="9" t="s">
        <v>26</v>
      </c>
    </row>
    <row r="84" spans="1:17" x14ac:dyDescent="0.3">
      <c r="A84" s="5" t="s">
        <v>262</v>
      </c>
      <c r="B84" s="6">
        <v>2.0750000000000002</v>
      </c>
      <c r="C84" s="6">
        <v>0.433</v>
      </c>
      <c r="D84" s="6">
        <v>4.9000000000000002E-2</v>
      </c>
      <c r="E84" s="6">
        <v>0.39100000000000001</v>
      </c>
      <c r="F84" s="6">
        <v>6.7000000000000004E-2</v>
      </c>
      <c r="G84" s="6">
        <v>0.22800000000000001</v>
      </c>
      <c r="H84" s="6">
        <f>SUM(B84:G84)</f>
        <v>3.2430000000000003</v>
      </c>
      <c r="I84" s="6" t="s">
        <v>340</v>
      </c>
      <c r="J84" s="6" t="s">
        <v>21</v>
      </c>
      <c r="K84" s="6">
        <v>604</v>
      </c>
      <c r="L84" s="6">
        <v>131</v>
      </c>
      <c r="M84" s="6">
        <v>6</v>
      </c>
      <c r="N84" s="6" t="s">
        <v>107</v>
      </c>
      <c r="O84" s="6" t="s">
        <v>24</v>
      </c>
      <c r="P84" s="6" t="s">
        <v>25</v>
      </c>
      <c r="Q84" s="6" t="s">
        <v>26</v>
      </c>
    </row>
    <row r="85" spans="1:17" ht="15" thickBot="1" x14ac:dyDescent="0.35">
      <c r="A85" s="8" t="s">
        <v>263</v>
      </c>
      <c r="B85" s="9">
        <v>2.282</v>
      </c>
      <c r="C85" s="9">
        <v>0.443</v>
      </c>
      <c r="D85" s="9">
        <v>4.9000000000000002E-2</v>
      </c>
      <c r="E85" s="9">
        <v>0.40200000000000002</v>
      </c>
      <c r="F85" s="9">
        <v>6.9000000000000006E-2</v>
      </c>
      <c r="G85" s="9">
        <v>0.22700000000000001</v>
      </c>
      <c r="H85" s="9">
        <f>SUM(B85:G85)</f>
        <v>3.472</v>
      </c>
      <c r="I85" s="9" t="s">
        <v>340</v>
      </c>
      <c r="J85" s="9" t="s">
        <v>21</v>
      </c>
      <c r="K85" s="9">
        <v>604</v>
      </c>
      <c r="L85" s="9">
        <v>131</v>
      </c>
      <c r="M85" s="9">
        <v>6</v>
      </c>
      <c r="N85" s="9" t="s">
        <v>107</v>
      </c>
      <c r="O85" s="9" t="s">
        <v>24</v>
      </c>
      <c r="P85" s="9" t="s">
        <v>25</v>
      </c>
      <c r="Q85" s="9" t="s">
        <v>26</v>
      </c>
    </row>
    <row r="86" spans="1:17" x14ac:dyDescent="0.3">
      <c r="A86" s="5" t="s">
        <v>264</v>
      </c>
      <c r="B86" s="6">
        <v>1.831</v>
      </c>
      <c r="C86" s="6">
        <v>0.437</v>
      </c>
      <c r="D86" s="6">
        <v>5.0999999999999997E-2</v>
      </c>
      <c r="E86" s="6">
        <v>0.32900000000000001</v>
      </c>
      <c r="F86" s="6">
        <v>7.0000000000000007E-2</v>
      </c>
      <c r="G86" s="6">
        <v>0.223</v>
      </c>
      <c r="H86" s="6">
        <f>SUM(B86:G86)</f>
        <v>2.9409999999999998</v>
      </c>
      <c r="I86" s="6" t="s">
        <v>340</v>
      </c>
      <c r="J86" s="6" t="s">
        <v>21</v>
      </c>
      <c r="K86" s="6">
        <v>605</v>
      </c>
      <c r="L86" s="6">
        <v>131</v>
      </c>
      <c r="M86" s="6">
        <v>6</v>
      </c>
      <c r="N86" s="6" t="s">
        <v>107</v>
      </c>
      <c r="O86" s="6" t="s">
        <v>24</v>
      </c>
      <c r="P86" s="6" t="s">
        <v>25</v>
      </c>
      <c r="Q86" s="6" t="s">
        <v>26</v>
      </c>
    </row>
    <row r="87" spans="1:17" ht="15" thickBot="1" x14ac:dyDescent="0.35">
      <c r="A87" s="8" t="s">
        <v>265</v>
      </c>
      <c r="B87" s="9">
        <v>1.7589999999999999</v>
      </c>
      <c r="C87" s="9">
        <v>0.42599999999999999</v>
      </c>
      <c r="D87" s="9">
        <v>5.0999999999999997E-2</v>
      </c>
      <c r="E87" s="9">
        <v>0.32800000000000001</v>
      </c>
      <c r="F87" s="9">
        <v>6.7000000000000004E-2</v>
      </c>
      <c r="G87" s="9">
        <v>0.223</v>
      </c>
      <c r="H87" s="9">
        <f>SUM(B87:G87)</f>
        <v>2.8540000000000001</v>
      </c>
      <c r="I87" s="9" t="s">
        <v>340</v>
      </c>
      <c r="J87" s="9" t="s">
        <v>21</v>
      </c>
      <c r="K87" s="9">
        <v>605</v>
      </c>
      <c r="L87" s="9">
        <v>131</v>
      </c>
      <c r="M87" s="9">
        <v>6</v>
      </c>
      <c r="N87" s="9" t="s">
        <v>107</v>
      </c>
      <c r="O87" s="9" t="s">
        <v>24</v>
      </c>
      <c r="P87" s="9" t="s">
        <v>25</v>
      </c>
      <c r="Q87" s="9" t="s">
        <v>26</v>
      </c>
    </row>
    <row r="88" spans="1:17" x14ac:dyDescent="0.3">
      <c r="A88" s="5" t="s">
        <v>266</v>
      </c>
      <c r="B88" s="6">
        <v>1.397</v>
      </c>
      <c r="C88" s="6">
        <v>0.374</v>
      </c>
      <c r="D88" s="6">
        <v>4.4999999999999998E-2</v>
      </c>
      <c r="E88" s="6">
        <v>0.30099999999999999</v>
      </c>
      <c r="F88" s="6">
        <v>6.4000000000000001E-2</v>
      </c>
      <c r="G88" s="6">
        <v>0.22</v>
      </c>
      <c r="H88" s="6">
        <f>SUM(B88:G88)</f>
        <v>2.4010000000000002</v>
      </c>
      <c r="I88" s="6" t="s">
        <v>340</v>
      </c>
      <c r="J88" s="6" t="s">
        <v>21</v>
      </c>
      <c r="K88" s="6">
        <v>606</v>
      </c>
      <c r="L88" s="6">
        <v>131</v>
      </c>
      <c r="M88" s="6">
        <v>6</v>
      </c>
      <c r="N88" s="6" t="s">
        <v>107</v>
      </c>
      <c r="O88" s="6" t="s">
        <v>24</v>
      </c>
      <c r="P88" s="6" t="s">
        <v>25</v>
      </c>
      <c r="Q88" s="6" t="s">
        <v>26</v>
      </c>
    </row>
    <row r="89" spans="1:17" ht="15" thickBot="1" x14ac:dyDescent="0.35">
      <c r="A89" s="8" t="s">
        <v>267</v>
      </c>
      <c r="B89" s="9">
        <v>1.387</v>
      </c>
      <c r="C89" s="9">
        <v>0.37</v>
      </c>
      <c r="D89" s="9">
        <v>4.2000000000000003E-2</v>
      </c>
      <c r="E89" s="9">
        <v>0.3</v>
      </c>
      <c r="F89" s="9">
        <v>6.2E-2</v>
      </c>
      <c r="G89" s="9">
        <v>0.22</v>
      </c>
      <c r="H89" s="9">
        <f>SUM(B89:G89)</f>
        <v>2.3810000000000002</v>
      </c>
      <c r="I89" s="9" t="s">
        <v>340</v>
      </c>
      <c r="J89" s="9" t="s">
        <v>21</v>
      </c>
      <c r="K89" s="9">
        <v>606</v>
      </c>
      <c r="L89" s="9">
        <v>131</v>
      </c>
      <c r="M89" s="9">
        <v>6</v>
      </c>
      <c r="N89" s="9" t="s">
        <v>107</v>
      </c>
      <c r="O89" s="9" t="s">
        <v>24</v>
      </c>
      <c r="P89" s="9" t="s">
        <v>25</v>
      </c>
      <c r="Q89" s="9" t="s">
        <v>26</v>
      </c>
    </row>
    <row r="90" spans="1:17" x14ac:dyDescent="0.3">
      <c r="A90" s="5" t="s">
        <v>268</v>
      </c>
      <c r="B90" s="6">
        <v>1.1819999999999999</v>
      </c>
      <c r="C90" s="6">
        <v>0.32900000000000001</v>
      </c>
      <c r="D90" s="6">
        <v>0.04</v>
      </c>
      <c r="E90" s="6">
        <v>0.28000000000000003</v>
      </c>
      <c r="F90" s="6">
        <v>5.8000000000000003E-2</v>
      </c>
      <c r="G90" s="6">
        <v>0.217</v>
      </c>
      <c r="H90" s="6">
        <f>SUM(B90:G90)</f>
        <v>2.1059999999999999</v>
      </c>
      <c r="I90" s="6" t="s">
        <v>340</v>
      </c>
      <c r="J90" s="6" t="s">
        <v>21</v>
      </c>
      <c r="K90" s="6">
        <v>607</v>
      </c>
      <c r="L90" s="6">
        <v>131</v>
      </c>
      <c r="M90" s="6">
        <v>6</v>
      </c>
      <c r="N90" s="6" t="s">
        <v>107</v>
      </c>
      <c r="O90" s="6" t="s">
        <v>24</v>
      </c>
      <c r="P90" s="6" t="s">
        <v>25</v>
      </c>
      <c r="Q90" s="6" t="s">
        <v>26</v>
      </c>
    </row>
    <row r="91" spans="1:17" ht="15" thickBot="1" x14ac:dyDescent="0.35">
      <c r="A91" s="8" t="s">
        <v>269</v>
      </c>
      <c r="B91" s="9">
        <v>1.17</v>
      </c>
      <c r="C91" s="9">
        <v>0.314</v>
      </c>
      <c r="D91" s="9">
        <v>3.6999999999999998E-2</v>
      </c>
      <c r="E91" s="9">
        <v>0.28100000000000003</v>
      </c>
      <c r="F91" s="9">
        <v>5.7000000000000002E-2</v>
      </c>
      <c r="G91" s="9">
        <v>0.217</v>
      </c>
      <c r="H91" s="9">
        <f>SUM(B91:G91)</f>
        <v>2.0760000000000001</v>
      </c>
      <c r="I91" s="9" t="s">
        <v>340</v>
      </c>
      <c r="J91" s="9" t="s">
        <v>21</v>
      </c>
      <c r="K91" s="9">
        <v>607</v>
      </c>
      <c r="L91" s="9">
        <v>131</v>
      </c>
      <c r="M91" s="9">
        <v>6</v>
      </c>
      <c r="N91" s="9" t="s">
        <v>107</v>
      </c>
      <c r="O91" s="9" t="s">
        <v>24</v>
      </c>
      <c r="P91" s="9" t="s">
        <v>25</v>
      </c>
      <c r="Q91" s="9" t="s">
        <v>26</v>
      </c>
    </row>
    <row r="92" spans="1:17" x14ac:dyDescent="0.3">
      <c r="A92" s="11" t="s">
        <v>270</v>
      </c>
      <c r="B92" s="12">
        <v>2.1850000000000001</v>
      </c>
      <c r="C92" s="12">
        <v>0.58499999999999996</v>
      </c>
      <c r="D92" s="12">
        <v>6.4000000000000001E-2</v>
      </c>
      <c r="E92" s="12">
        <v>0.41299999999999998</v>
      </c>
      <c r="F92" s="12">
        <v>7.1999999999999995E-2</v>
      </c>
      <c r="G92" s="12">
        <v>0.23799999999999999</v>
      </c>
      <c r="H92" s="12">
        <f>SUM(B92:G92)</f>
        <v>3.5569999999999999</v>
      </c>
      <c r="I92" s="12" t="s">
        <v>340</v>
      </c>
      <c r="J92" s="12" t="s">
        <v>21</v>
      </c>
      <c r="K92" s="12">
        <v>108</v>
      </c>
      <c r="L92" s="12">
        <v>110</v>
      </c>
      <c r="M92" s="12">
        <v>1</v>
      </c>
      <c r="N92" s="12" t="s">
        <v>107</v>
      </c>
      <c r="O92" s="12" t="s">
        <v>45</v>
      </c>
      <c r="P92" s="12" t="s">
        <v>25</v>
      </c>
      <c r="Q92" s="12" t="s">
        <v>46</v>
      </c>
    </row>
    <row r="93" spans="1:17" ht="15" thickBot="1" x14ac:dyDescent="0.35">
      <c r="A93" s="14" t="s">
        <v>271</v>
      </c>
      <c r="B93" s="15">
        <v>2.3540000000000001</v>
      </c>
      <c r="C93" s="15">
        <v>0.59399999999999997</v>
      </c>
      <c r="D93" s="15">
        <v>6.5000000000000002E-2</v>
      </c>
      <c r="E93" s="15">
        <v>0.42299999999999999</v>
      </c>
      <c r="F93" s="15">
        <v>7.4999999999999997E-2</v>
      </c>
      <c r="G93" s="15">
        <v>0.23799999999999999</v>
      </c>
      <c r="H93" s="15">
        <f>SUM(B93:G93)</f>
        <v>3.7490000000000001</v>
      </c>
      <c r="I93" s="15" t="s">
        <v>340</v>
      </c>
      <c r="J93" s="15" t="s">
        <v>21</v>
      </c>
      <c r="K93" s="15">
        <v>108</v>
      </c>
      <c r="L93" s="15">
        <v>110</v>
      </c>
      <c r="M93" s="15">
        <v>1</v>
      </c>
      <c r="N93" s="15" t="s">
        <v>107</v>
      </c>
      <c r="O93" s="15" t="s">
        <v>45</v>
      </c>
      <c r="P93" s="15" t="s">
        <v>25</v>
      </c>
      <c r="Q93" s="15" t="s">
        <v>46</v>
      </c>
    </row>
    <row r="94" spans="1:17" x14ac:dyDescent="0.3">
      <c r="A94" s="11" t="s">
        <v>272</v>
      </c>
      <c r="B94" s="12">
        <v>2.8180000000000001</v>
      </c>
      <c r="C94" s="12">
        <v>0.72699999999999998</v>
      </c>
      <c r="D94" s="12">
        <v>6.6000000000000003E-2</v>
      </c>
      <c r="E94" s="12">
        <v>0.505</v>
      </c>
      <c r="F94" s="12">
        <v>7.4999999999999997E-2</v>
      </c>
      <c r="G94" s="12">
        <v>0.24299999999999999</v>
      </c>
      <c r="H94" s="12">
        <f>SUM(B94:G94)</f>
        <v>4.4340000000000002</v>
      </c>
      <c r="I94" s="12" t="s">
        <v>340</v>
      </c>
      <c r="J94" s="12" t="s">
        <v>21</v>
      </c>
      <c r="K94" s="12">
        <v>111</v>
      </c>
      <c r="L94" s="12">
        <v>110</v>
      </c>
      <c r="M94" s="12">
        <v>1</v>
      </c>
      <c r="N94" s="12" t="s">
        <v>107</v>
      </c>
      <c r="O94" s="12" t="s">
        <v>45</v>
      </c>
      <c r="P94" s="12" t="s">
        <v>25</v>
      </c>
      <c r="Q94" s="12" t="s">
        <v>46</v>
      </c>
    </row>
    <row r="95" spans="1:17" ht="15" thickBot="1" x14ac:dyDescent="0.35">
      <c r="A95" s="14" t="s">
        <v>273</v>
      </c>
      <c r="B95" s="15">
        <v>2.9830000000000001</v>
      </c>
      <c r="C95" s="15">
        <v>0.71199999999999997</v>
      </c>
      <c r="D95" s="15">
        <v>6.6000000000000003E-2</v>
      </c>
      <c r="E95" s="15">
        <v>0.496</v>
      </c>
      <c r="F95" s="15">
        <v>7.1999999999999995E-2</v>
      </c>
      <c r="G95" s="15">
        <v>0.24199999999999999</v>
      </c>
      <c r="H95" s="15">
        <f>SUM(B95:G95)</f>
        <v>4.5709999999999997</v>
      </c>
      <c r="I95" s="15" t="s">
        <v>340</v>
      </c>
      <c r="J95" s="15" t="s">
        <v>21</v>
      </c>
      <c r="K95" s="15">
        <v>111</v>
      </c>
      <c r="L95" s="15">
        <v>110</v>
      </c>
      <c r="M95" s="15">
        <v>1</v>
      </c>
      <c r="N95" s="15" t="s">
        <v>107</v>
      </c>
      <c r="O95" s="15" t="s">
        <v>45</v>
      </c>
      <c r="P95" s="15" t="s">
        <v>25</v>
      </c>
      <c r="Q95" s="15" t="s">
        <v>46</v>
      </c>
    </row>
    <row r="96" spans="1:17" x14ac:dyDescent="0.3">
      <c r="A96" s="11" t="s">
        <v>274</v>
      </c>
      <c r="B96" s="12">
        <v>2.2200000000000002</v>
      </c>
      <c r="C96" s="12">
        <v>0.64300000000000002</v>
      </c>
      <c r="D96" s="12">
        <v>6.8000000000000005E-2</v>
      </c>
      <c r="E96" s="12">
        <v>0.42399999999999999</v>
      </c>
      <c r="F96" s="12">
        <v>7.2999999999999995E-2</v>
      </c>
      <c r="G96" s="12">
        <v>0.23899999999999999</v>
      </c>
      <c r="H96" s="12">
        <f>SUM(B96:G96)</f>
        <v>3.6670000000000003</v>
      </c>
      <c r="I96" s="12" t="s">
        <v>340</v>
      </c>
      <c r="J96" s="12" t="s">
        <v>21</v>
      </c>
      <c r="K96" s="12">
        <v>112</v>
      </c>
      <c r="L96" s="12">
        <v>110</v>
      </c>
      <c r="M96" s="12">
        <v>1</v>
      </c>
      <c r="N96" s="12" t="s">
        <v>107</v>
      </c>
      <c r="O96" s="12" t="s">
        <v>45</v>
      </c>
      <c r="P96" s="12" t="s">
        <v>25</v>
      </c>
      <c r="Q96" s="12" t="s">
        <v>46</v>
      </c>
    </row>
    <row r="97" spans="1:17" ht="15" thickBot="1" x14ac:dyDescent="0.35">
      <c r="A97" s="14" t="s">
        <v>275</v>
      </c>
      <c r="B97" s="15">
        <v>2.274</v>
      </c>
      <c r="C97" s="15">
        <v>0.63200000000000001</v>
      </c>
      <c r="D97" s="15">
        <v>6.7000000000000004E-2</v>
      </c>
      <c r="E97" s="15">
        <v>0.42599999999999999</v>
      </c>
      <c r="F97" s="15">
        <v>7.2999999999999995E-2</v>
      </c>
      <c r="G97" s="15">
        <v>0.23799999999999999</v>
      </c>
      <c r="H97" s="15">
        <f>SUM(B97:G97)</f>
        <v>3.7100000000000004</v>
      </c>
      <c r="I97" s="15" t="s">
        <v>340</v>
      </c>
      <c r="J97" s="15" t="s">
        <v>21</v>
      </c>
      <c r="K97" s="15">
        <v>112</v>
      </c>
      <c r="L97" s="15">
        <v>110</v>
      </c>
      <c r="M97" s="15">
        <v>1</v>
      </c>
      <c r="N97" s="15" t="s">
        <v>107</v>
      </c>
      <c r="O97" s="15" t="s">
        <v>45</v>
      </c>
      <c r="P97" s="15" t="s">
        <v>25</v>
      </c>
      <c r="Q97" s="15" t="s">
        <v>46</v>
      </c>
    </row>
    <row r="98" spans="1:17" x14ac:dyDescent="0.3">
      <c r="A98" s="11" t="s">
        <v>276</v>
      </c>
      <c r="B98" s="12">
        <v>1.8680000000000001</v>
      </c>
      <c r="C98" s="12">
        <v>0.52500000000000002</v>
      </c>
      <c r="D98" s="12">
        <v>5.0999999999999997E-2</v>
      </c>
      <c r="E98" s="12">
        <v>0.39600000000000002</v>
      </c>
      <c r="F98" s="12">
        <v>5.8999999999999997E-2</v>
      </c>
      <c r="G98" s="12">
        <v>0.22900000000000001</v>
      </c>
      <c r="H98" s="12">
        <f>SUM(B98:G98)</f>
        <v>3.1280000000000006</v>
      </c>
      <c r="I98" s="12" t="s">
        <v>340</v>
      </c>
      <c r="J98" s="12" t="s">
        <v>21</v>
      </c>
      <c r="K98" s="12">
        <v>120</v>
      </c>
      <c r="L98" s="12">
        <v>107</v>
      </c>
      <c r="M98" s="12">
        <v>1</v>
      </c>
      <c r="N98" s="12" t="s">
        <v>107</v>
      </c>
      <c r="O98" s="12" t="s">
        <v>45</v>
      </c>
      <c r="P98" s="12" t="s">
        <v>25</v>
      </c>
      <c r="Q98" s="12" t="s">
        <v>46</v>
      </c>
    </row>
    <row r="99" spans="1:17" ht="15" thickBot="1" x14ac:dyDescent="0.35">
      <c r="A99" s="14" t="s">
        <v>277</v>
      </c>
      <c r="B99" s="15">
        <v>2.008</v>
      </c>
      <c r="C99" s="15">
        <v>0.52200000000000002</v>
      </c>
      <c r="D99" s="15">
        <v>5.0999999999999997E-2</v>
      </c>
      <c r="E99" s="15">
        <v>0.40100000000000002</v>
      </c>
      <c r="F99" s="15">
        <v>0.06</v>
      </c>
      <c r="G99" s="15">
        <v>0.22900000000000001</v>
      </c>
      <c r="H99" s="15">
        <f>SUM(B99:G99)</f>
        <v>3.2710000000000004</v>
      </c>
      <c r="I99" s="15" t="s">
        <v>340</v>
      </c>
      <c r="J99" s="15" t="s">
        <v>21</v>
      </c>
      <c r="K99" s="15">
        <v>120</v>
      </c>
      <c r="L99" s="15">
        <v>107</v>
      </c>
      <c r="M99" s="15">
        <v>1</v>
      </c>
      <c r="N99" s="15" t="s">
        <v>107</v>
      </c>
      <c r="O99" s="15" t="s">
        <v>45</v>
      </c>
      <c r="P99" s="15" t="s">
        <v>25</v>
      </c>
      <c r="Q99" s="15" t="s">
        <v>46</v>
      </c>
    </row>
    <row r="100" spans="1:17" x14ac:dyDescent="0.3">
      <c r="A100" s="11" t="s">
        <v>278</v>
      </c>
      <c r="B100" s="12">
        <v>1.907</v>
      </c>
      <c r="C100" s="12">
        <v>0.59099999999999997</v>
      </c>
      <c r="D100" s="12">
        <v>6.6000000000000003E-2</v>
      </c>
      <c r="E100" s="12">
        <v>0.41899999999999998</v>
      </c>
      <c r="F100" s="12">
        <v>7.0000000000000007E-2</v>
      </c>
      <c r="G100" s="12">
        <v>0.23300000000000001</v>
      </c>
      <c r="H100" s="12">
        <f>SUM(B100:G100)</f>
        <v>3.286</v>
      </c>
      <c r="I100" s="12" t="s">
        <v>340</v>
      </c>
      <c r="J100" s="12" t="s">
        <v>21</v>
      </c>
      <c r="K100" s="12">
        <v>214</v>
      </c>
      <c r="L100" s="12">
        <v>123</v>
      </c>
      <c r="M100" s="12">
        <v>2</v>
      </c>
      <c r="N100" s="12" t="s">
        <v>107</v>
      </c>
      <c r="O100" s="12" t="s">
        <v>45</v>
      </c>
      <c r="P100" s="12" t="s">
        <v>25</v>
      </c>
      <c r="Q100" s="12" t="s">
        <v>46</v>
      </c>
    </row>
    <row r="101" spans="1:17" ht="15" thickBot="1" x14ac:dyDescent="0.35">
      <c r="A101" s="14" t="s">
        <v>279</v>
      </c>
      <c r="B101" s="15">
        <v>1.9450000000000001</v>
      </c>
      <c r="C101" s="15">
        <v>0.58499999999999996</v>
      </c>
      <c r="D101" s="15">
        <v>6.5000000000000002E-2</v>
      </c>
      <c r="E101" s="15">
        <v>0.41899999999999998</v>
      </c>
      <c r="F101" s="15">
        <v>7.0000000000000007E-2</v>
      </c>
      <c r="G101" s="15">
        <v>0.23100000000000001</v>
      </c>
      <c r="H101" s="15">
        <f>SUM(B101:G101)</f>
        <v>3.3149999999999999</v>
      </c>
      <c r="I101" s="15" t="s">
        <v>340</v>
      </c>
      <c r="J101" s="15" t="s">
        <v>21</v>
      </c>
      <c r="K101" s="15">
        <v>214</v>
      </c>
      <c r="L101" s="15">
        <v>123</v>
      </c>
      <c r="M101" s="15">
        <v>2</v>
      </c>
      <c r="N101" s="15" t="s">
        <v>107</v>
      </c>
      <c r="O101" s="15" t="s">
        <v>45</v>
      </c>
      <c r="P101" s="15" t="s">
        <v>25</v>
      </c>
      <c r="Q101" s="15" t="s">
        <v>46</v>
      </c>
    </row>
    <row r="102" spans="1:17" x14ac:dyDescent="0.3">
      <c r="A102" s="11" t="s">
        <v>280</v>
      </c>
      <c r="B102" s="12">
        <v>1.645</v>
      </c>
      <c r="C102" s="12">
        <v>0.5</v>
      </c>
      <c r="D102" s="12">
        <v>5.1999999999999998E-2</v>
      </c>
      <c r="E102" s="12">
        <v>0.378</v>
      </c>
      <c r="F102" s="12">
        <v>5.8000000000000003E-2</v>
      </c>
      <c r="G102" s="12">
        <v>0.23100000000000001</v>
      </c>
      <c r="H102" s="12">
        <f>SUM(B102:G102)</f>
        <v>2.8639999999999999</v>
      </c>
      <c r="I102" s="12" t="s">
        <v>340</v>
      </c>
      <c r="J102" s="12" t="s">
        <v>21</v>
      </c>
      <c r="K102" s="12">
        <v>215</v>
      </c>
      <c r="L102" s="12">
        <v>123</v>
      </c>
      <c r="M102" s="12">
        <v>2</v>
      </c>
      <c r="N102" s="12" t="s">
        <v>107</v>
      </c>
      <c r="O102" s="12" t="s">
        <v>45</v>
      </c>
      <c r="P102" s="12" t="s">
        <v>25</v>
      </c>
      <c r="Q102" s="12" t="s">
        <v>46</v>
      </c>
    </row>
    <row r="103" spans="1:17" ht="15" thickBot="1" x14ac:dyDescent="0.35">
      <c r="A103" s="14" t="s">
        <v>281</v>
      </c>
      <c r="B103" s="15">
        <v>1.9590000000000001</v>
      </c>
      <c r="C103" s="15">
        <v>0.54100000000000004</v>
      </c>
      <c r="D103" s="15">
        <v>5.3999999999999999E-2</v>
      </c>
      <c r="E103" s="15">
        <v>0.39400000000000002</v>
      </c>
      <c r="F103" s="15">
        <v>6.2E-2</v>
      </c>
      <c r="G103" s="15">
        <v>0.23400000000000001</v>
      </c>
      <c r="H103" s="15">
        <f>SUM(B103:G103)</f>
        <v>3.2439999999999998</v>
      </c>
      <c r="I103" s="15" t="s">
        <v>340</v>
      </c>
      <c r="J103" s="15" t="s">
        <v>21</v>
      </c>
      <c r="K103" s="15">
        <v>215</v>
      </c>
      <c r="L103" s="15">
        <v>123</v>
      </c>
      <c r="M103" s="15">
        <v>2</v>
      </c>
      <c r="N103" s="15" t="s">
        <v>107</v>
      </c>
      <c r="O103" s="15" t="s">
        <v>45</v>
      </c>
      <c r="P103" s="15" t="s">
        <v>25</v>
      </c>
      <c r="Q103" s="15" t="s">
        <v>46</v>
      </c>
    </row>
    <row r="104" spans="1:17" x14ac:dyDescent="0.3">
      <c r="A104" s="11" t="s">
        <v>282</v>
      </c>
      <c r="B104" s="12">
        <v>1.6459999999999999</v>
      </c>
      <c r="C104" s="12">
        <v>0.49</v>
      </c>
      <c r="D104" s="12">
        <v>0.06</v>
      </c>
      <c r="E104" s="12">
        <v>0.46899999999999997</v>
      </c>
      <c r="F104" s="12">
        <v>6.3E-2</v>
      </c>
      <c r="G104" s="12">
        <v>0.23599999999999999</v>
      </c>
      <c r="H104" s="12">
        <f>SUM(B104:G104)</f>
        <v>2.9640000000000004</v>
      </c>
      <c r="I104" s="12" t="s">
        <v>340</v>
      </c>
      <c r="J104" s="12" t="s">
        <v>21</v>
      </c>
      <c r="K104" s="12">
        <v>220</v>
      </c>
      <c r="L104" s="12">
        <v>121</v>
      </c>
      <c r="M104" s="12">
        <v>2</v>
      </c>
      <c r="N104" s="12" t="s">
        <v>107</v>
      </c>
      <c r="O104" s="12" t="s">
        <v>45</v>
      </c>
      <c r="P104" s="12" t="s">
        <v>25</v>
      </c>
      <c r="Q104" s="12" t="s">
        <v>46</v>
      </c>
    </row>
    <row r="105" spans="1:17" ht="15" thickBot="1" x14ac:dyDescent="0.35">
      <c r="A105" s="14" t="s">
        <v>283</v>
      </c>
      <c r="B105" s="15">
        <v>1.796</v>
      </c>
      <c r="C105" s="15">
        <v>0.50600000000000001</v>
      </c>
      <c r="D105" s="15">
        <v>6.0999999999999999E-2</v>
      </c>
      <c r="E105" s="15">
        <v>0.47099999999999997</v>
      </c>
      <c r="F105" s="15">
        <v>6.2E-2</v>
      </c>
      <c r="G105" s="15">
        <v>0.23799999999999999</v>
      </c>
      <c r="H105" s="15">
        <f>SUM(B105:G105)</f>
        <v>3.1339999999999999</v>
      </c>
      <c r="I105" s="15" t="s">
        <v>340</v>
      </c>
      <c r="J105" s="15" t="s">
        <v>21</v>
      </c>
      <c r="K105" s="15">
        <v>220</v>
      </c>
      <c r="L105" s="15">
        <v>121</v>
      </c>
      <c r="M105" s="15">
        <v>2</v>
      </c>
      <c r="N105" s="15" t="s">
        <v>107</v>
      </c>
      <c r="O105" s="15" t="s">
        <v>45</v>
      </c>
      <c r="P105" s="15" t="s">
        <v>25</v>
      </c>
      <c r="Q105" s="15" t="s">
        <v>46</v>
      </c>
    </row>
    <row r="106" spans="1:17" x14ac:dyDescent="0.3">
      <c r="A106" s="11" t="s">
        <v>284</v>
      </c>
      <c r="B106" s="12">
        <v>1.5820000000000001</v>
      </c>
      <c r="C106" s="12">
        <v>0.45600000000000002</v>
      </c>
      <c r="D106" s="12">
        <v>5.2999999999999999E-2</v>
      </c>
      <c r="E106" s="12">
        <v>0.44800000000000001</v>
      </c>
      <c r="F106" s="12">
        <v>5.7000000000000002E-2</v>
      </c>
      <c r="G106" s="12">
        <v>0.22900000000000001</v>
      </c>
      <c r="H106" s="12">
        <f>SUM(B106:G106)</f>
        <v>2.8250000000000002</v>
      </c>
      <c r="I106" s="12" t="s">
        <v>340</v>
      </c>
      <c r="J106" s="12" t="s">
        <v>21</v>
      </c>
      <c r="K106" s="12">
        <v>222</v>
      </c>
      <c r="L106" s="12">
        <v>121</v>
      </c>
      <c r="M106" s="12">
        <v>2</v>
      </c>
      <c r="N106" s="12" t="s">
        <v>107</v>
      </c>
      <c r="O106" s="12" t="s">
        <v>45</v>
      </c>
      <c r="P106" s="12" t="s">
        <v>25</v>
      </c>
      <c r="Q106" s="12" t="s">
        <v>46</v>
      </c>
    </row>
    <row r="107" spans="1:17" ht="15" thickBot="1" x14ac:dyDescent="0.35">
      <c r="A107" s="14" t="s">
        <v>285</v>
      </c>
      <c r="B107" s="15">
        <v>1.6659999999999999</v>
      </c>
      <c r="C107" s="15">
        <v>0.46200000000000002</v>
      </c>
      <c r="D107" s="15">
        <v>5.2999999999999999E-2</v>
      </c>
      <c r="E107" s="15">
        <v>0.45200000000000001</v>
      </c>
      <c r="F107" s="15">
        <v>5.7000000000000002E-2</v>
      </c>
      <c r="G107" s="15">
        <v>0.22900000000000001</v>
      </c>
      <c r="H107" s="15">
        <f>SUM(B107:G107)</f>
        <v>2.919</v>
      </c>
      <c r="I107" s="15" t="s">
        <v>340</v>
      </c>
      <c r="J107" s="15" t="s">
        <v>21</v>
      </c>
      <c r="K107" s="15">
        <v>222</v>
      </c>
      <c r="L107" s="15">
        <v>121</v>
      </c>
      <c r="M107" s="15">
        <v>2</v>
      </c>
      <c r="N107" s="15" t="s">
        <v>107</v>
      </c>
      <c r="O107" s="15" t="s">
        <v>45</v>
      </c>
      <c r="P107" s="15" t="s">
        <v>25</v>
      </c>
      <c r="Q107" s="15" t="s">
        <v>46</v>
      </c>
    </row>
    <row r="108" spans="1:17" x14ac:dyDescent="0.3">
      <c r="A108" s="11" t="s">
        <v>286</v>
      </c>
      <c r="B108" s="12">
        <v>2.0059999999999998</v>
      </c>
      <c r="C108" s="12">
        <v>0.60399999999999998</v>
      </c>
      <c r="D108" s="12">
        <v>6.6000000000000003E-2</v>
      </c>
      <c r="E108" s="12">
        <v>0.53100000000000003</v>
      </c>
      <c r="F108" s="12">
        <v>6.6000000000000003E-2</v>
      </c>
      <c r="G108" s="12">
        <v>0.24099999999999999</v>
      </c>
      <c r="H108" s="12">
        <f>SUM(B108:G108)</f>
        <v>3.5139999999999998</v>
      </c>
      <c r="I108" s="12" t="s">
        <v>340</v>
      </c>
      <c r="J108" s="12" t="s">
        <v>21</v>
      </c>
      <c r="K108" s="12">
        <v>309</v>
      </c>
      <c r="L108" s="12">
        <v>125</v>
      </c>
      <c r="M108" s="12">
        <v>3</v>
      </c>
      <c r="N108" s="12" t="s">
        <v>107</v>
      </c>
      <c r="O108" s="12" t="s">
        <v>45</v>
      </c>
      <c r="P108" s="12" t="s">
        <v>25</v>
      </c>
      <c r="Q108" s="12" t="s">
        <v>46</v>
      </c>
    </row>
    <row r="109" spans="1:17" ht="15" thickBot="1" x14ac:dyDescent="0.35">
      <c r="A109" s="14" t="s">
        <v>287</v>
      </c>
      <c r="B109" s="15">
        <v>2.2309999999999999</v>
      </c>
      <c r="C109" s="15">
        <v>0.63600000000000001</v>
      </c>
      <c r="D109" s="15">
        <v>6.7000000000000004E-2</v>
      </c>
      <c r="E109" s="15">
        <v>0.54500000000000004</v>
      </c>
      <c r="F109" s="15">
        <v>6.9000000000000006E-2</v>
      </c>
      <c r="G109" s="15">
        <v>0.24199999999999999</v>
      </c>
      <c r="H109" s="15">
        <f>SUM(B109:G109)</f>
        <v>3.79</v>
      </c>
      <c r="I109" s="15" t="s">
        <v>340</v>
      </c>
      <c r="J109" s="15" t="s">
        <v>21</v>
      </c>
      <c r="K109" s="15">
        <v>309</v>
      </c>
      <c r="L109" s="15">
        <v>125</v>
      </c>
      <c r="M109" s="15">
        <v>3</v>
      </c>
      <c r="N109" s="15" t="s">
        <v>107</v>
      </c>
      <c r="O109" s="15" t="s">
        <v>45</v>
      </c>
      <c r="P109" s="15" t="s">
        <v>25</v>
      </c>
      <c r="Q109" s="15" t="s">
        <v>46</v>
      </c>
    </row>
    <row r="110" spans="1:17" x14ac:dyDescent="0.3">
      <c r="A110" s="11" t="s">
        <v>288</v>
      </c>
      <c r="B110" s="12">
        <v>2.09</v>
      </c>
      <c r="C110" s="12">
        <v>0.58799999999999997</v>
      </c>
      <c r="D110" s="12">
        <v>6.5000000000000002E-2</v>
      </c>
      <c r="E110" s="12">
        <v>0.46400000000000002</v>
      </c>
      <c r="F110" s="12">
        <v>7.6999999999999999E-2</v>
      </c>
      <c r="G110" s="12">
        <v>0.23899999999999999</v>
      </c>
      <c r="H110" s="12">
        <f>SUM(B110:G110)</f>
        <v>3.5229999999999997</v>
      </c>
      <c r="I110" s="12" t="s">
        <v>340</v>
      </c>
      <c r="J110" s="12" t="s">
        <v>21</v>
      </c>
      <c r="K110" s="12">
        <v>424</v>
      </c>
      <c r="L110" s="12">
        <v>126</v>
      </c>
      <c r="M110" s="12">
        <v>4</v>
      </c>
      <c r="N110" s="12" t="s">
        <v>107</v>
      </c>
      <c r="O110" s="12" t="s">
        <v>45</v>
      </c>
      <c r="P110" s="12" t="s">
        <v>25</v>
      </c>
      <c r="Q110" s="12" t="s">
        <v>46</v>
      </c>
    </row>
    <row r="111" spans="1:17" ht="15" thickBot="1" x14ac:dyDescent="0.35">
      <c r="A111" s="14" t="s">
        <v>289</v>
      </c>
      <c r="B111" s="15">
        <v>2.0249999999999999</v>
      </c>
      <c r="C111" s="15">
        <v>0.57299999999999995</v>
      </c>
      <c r="D111" s="15">
        <v>6.4000000000000001E-2</v>
      </c>
      <c r="E111" s="15">
        <v>0.44900000000000001</v>
      </c>
      <c r="F111" s="15">
        <v>7.1999999999999995E-2</v>
      </c>
      <c r="G111" s="15">
        <v>0.23799999999999999</v>
      </c>
      <c r="H111" s="15">
        <f>SUM(B111:G111)</f>
        <v>3.4209999999999998</v>
      </c>
      <c r="I111" s="15" t="s">
        <v>340</v>
      </c>
      <c r="J111" s="15" t="s">
        <v>21</v>
      </c>
      <c r="K111" s="15">
        <v>424</v>
      </c>
      <c r="L111" s="15">
        <v>126</v>
      </c>
      <c r="M111" s="15">
        <v>4</v>
      </c>
      <c r="N111" s="15" t="s">
        <v>107</v>
      </c>
      <c r="O111" s="15" t="s">
        <v>45</v>
      </c>
      <c r="P111" s="15" t="s">
        <v>25</v>
      </c>
      <c r="Q111" s="15" t="s">
        <v>46</v>
      </c>
    </row>
    <row r="112" spans="1:17" x14ac:dyDescent="0.3">
      <c r="A112" s="11" t="s">
        <v>290</v>
      </c>
      <c r="B112" s="12">
        <v>1.915</v>
      </c>
      <c r="C112" s="12">
        <v>0.68799999999999994</v>
      </c>
      <c r="D112" s="12">
        <v>6.6000000000000003E-2</v>
      </c>
      <c r="E112" s="12">
        <v>0.372</v>
      </c>
      <c r="F112" s="12">
        <v>7.3999999999999996E-2</v>
      </c>
      <c r="G112" s="12">
        <v>0.25</v>
      </c>
      <c r="H112" s="12">
        <f>SUM(B112:G112)</f>
        <v>3.3649999999999993</v>
      </c>
      <c r="I112" s="12" t="s">
        <v>340</v>
      </c>
      <c r="J112" s="12" t="s">
        <v>21</v>
      </c>
      <c r="K112" s="12">
        <v>425</v>
      </c>
      <c r="L112" s="12">
        <v>126</v>
      </c>
      <c r="M112" s="12">
        <v>4</v>
      </c>
      <c r="N112" s="12" t="s">
        <v>107</v>
      </c>
      <c r="O112" s="12" t="s">
        <v>45</v>
      </c>
      <c r="P112" s="12" t="s">
        <v>25</v>
      </c>
      <c r="Q112" s="12" t="s">
        <v>46</v>
      </c>
    </row>
    <row r="113" spans="1:17" ht="15" thickBot="1" x14ac:dyDescent="0.35">
      <c r="A113" s="14" t="s">
        <v>291</v>
      </c>
      <c r="B113" s="15">
        <v>1.8320000000000001</v>
      </c>
      <c r="C113" s="15">
        <v>0.67900000000000005</v>
      </c>
      <c r="D113" s="15">
        <v>6.5000000000000002E-2</v>
      </c>
      <c r="E113" s="15">
        <v>0.36699999999999999</v>
      </c>
      <c r="F113" s="15">
        <v>6.9000000000000006E-2</v>
      </c>
      <c r="G113" s="15">
        <v>0.248</v>
      </c>
      <c r="H113" s="15">
        <f>SUM(B113:G113)</f>
        <v>3.26</v>
      </c>
      <c r="I113" s="15" t="s">
        <v>340</v>
      </c>
      <c r="J113" s="15" t="s">
        <v>21</v>
      </c>
      <c r="K113" s="15">
        <v>425</v>
      </c>
      <c r="L113" s="15">
        <v>126</v>
      </c>
      <c r="M113" s="15">
        <v>4</v>
      </c>
      <c r="N113" s="15" t="s">
        <v>107</v>
      </c>
      <c r="O113" s="15" t="s">
        <v>45</v>
      </c>
      <c r="P113" s="15" t="s">
        <v>25</v>
      </c>
      <c r="Q113" s="15" t="s">
        <v>46</v>
      </c>
    </row>
    <row r="114" spans="1:17" x14ac:dyDescent="0.3">
      <c r="A114" s="11" t="s">
        <v>292</v>
      </c>
      <c r="B114" s="12">
        <v>2.3919999999999999</v>
      </c>
      <c r="C114" s="12">
        <v>0.56000000000000005</v>
      </c>
      <c r="D114" s="12">
        <v>6.7000000000000004E-2</v>
      </c>
      <c r="E114" s="12">
        <v>0.53200000000000003</v>
      </c>
      <c r="F114" s="12">
        <v>8.3000000000000004E-2</v>
      </c>
      <c r="G114" s="12">
        <v>0.24299999999999999</v>
      </c>
      <c r="H114" s="12">
        <f>SUM(B114:G114)</f>
        <v>3.8770000000000002</v>
      </c>
      <c r="I114" s="12" t="s">
        <v>340</v>
      </c>
      <c r="J114" s="12" t="s">
        <v>21</v>
      </c>
      <c r="K114" s="12">
        <v>614</v>
      </c>
      <c r="L114" s="12">
        <v>133</v>
      </c>
      <c r="M114" s="12">
        <v>6</v>
      </c>
      <c r="N114" s="12" t="s">
        <v>107</v>
      </c>
      <c r="O114" s="12" t="s">
        <v>45</v>
      </c>
      <c r="P114" s="12" t="s">
        <v>25</v>
      </c>
      <c r="Q114" s="12" t="s">
        <v>46</v>
      </c>
    </row>
    <row r="115" spans="1:17" ht="15" thickBot="1" x14ac:dyDescent="0.35">
      <c r="A115" s="14" t="s">
        <v>293</v>
      </c>
      <c r="B115" s="15">
        <v>2.6150000000000002</v>
      </c>
      <c r="C115" s="15">
        <v>0.56799999999999995</v>
      </c>
      <c r="D115" s="15">
        <v>6.7000000000000004E-2</v>
      </c>
      <c r="E115" s="15">
        <v>0.53900000000000003</v>
      </c>
      <c r="F115" s="15">
        <v>8.4000000000000005E-2</v>
      </c>
      <c r="G115" s="15">
        <v>0.24199999999999999</v>
      </c>
      <c r="H115" s="15">
        <f>SUM(B115:G115)</f>
        <v>4.1150000000000002</v>
      </c>
      <c r="I115" s="15" t="s">
        <v>340</v>
      </c>
      <c r="J115" s="15" t="s">
        <v>21</v>
      </c>
      <c r="K115" s="15">
        <v>614</v>
      </c>
      <c r="L115" s="15">
        <v>133</v>
      </c>
      <c r="M115" s="15">
        <v>6</v>
      </c>
      <c r="N115" s="15" t="s">
        <v>107</v>
      </c>
      <c r="O115" s="15" t="s">
        <v>45</v>
      </c>
      <c r="P115" s="15" t="s">
        <v>25</v>
      </c>
      <c r="Q115" s="15" t="s">
        <v>46</v>
      </c>
    </row>
    <row r="116" spans="1:17" x14ac:dyDescent="0.3">
      <c r="A116" s="11" t="s">
        <v>294</v>
      </c>
      <c r="B116" s="12">
        <v>2.6389999999999998</v>
      </c>
      <c r="C116" s="12">
        <v>0.627</v>
      </c>
      <c r="D116" s="12">
        <v>7.4999999999999997E-2</v>
      </c>
      <c r="E116" s="12">
        <v>0.48499999999999999</v>
      </c>
      <c r="F116" s="12">
        <v>8.6999999999999994E-2</v>
      </c>
      <c r="G116" s="12">
        <v>0.253</v>
      </c>
      <c r="H116" s="12">
        <f>SUM(B116:G116)</f>
        <v>4.1660000000000004</v>
      </c>
      <c r="I116" s="12" t="s">
        <v>340</v>
      </c>
      <c r="J116" s="12" t="s">
        <v>21</v>
      </c>
      <c r="K116" s="12">
        <v>615</v>
      </c>
      <c r="L116" s="12">
        <v>133</v>
      </c>
      <c r="M116" s="12">
        <v>6</v>
      </c>
      <c r="N116" s="12" t="s">
        <v>107</v>
      </c>
      <c r="O116" s="12" t="s">
        <v>45</v>
      </c>
      <c r="P116" s="12" t="s">
        <v>25</v>
      </c>
      <c r="Q116" s="12" t="s">
        <v>46</v>
      </c>
    </row>
    <row r="117" spans="1:17" ht="15" thickBot="1" x14ac:dyDescent="0.35">
      <c r="A117" s="14" t="s">
        <v>295</v>
      </c>
      <c r="B117" s="15">
        <v>2.7360000000000002</v>
      </c>
      <c r="C117" s="15">
        <v>0.64900000000000002</v>
      </c>
      <c r="D117" s="15">
        <v>7.6999999999999999E-2</v>
      </c>
      <c r="E117" s="15">
        <v>0.48899999999999999</v>
      </c>
      <c r="F117" s="15">
        <v>8.5999999999999993E-2</v>
      </c>
      <c r="G117" s="15">
        <v>0.25600000000000001</v>
      </c>
      <c r="H117" s="15">
        <f>SUM(B117:G117)</f>
        <v>4.2930000000000001</v>
      </c>
      <c r="I117" s="15" t="s">
        <v>340</v>
      </c>
      <c r="J117" s="15" t="s">
        <v>21</v>
      </c>
      <c r="K117" s="15">
        <v>615</v>
      </c>
      <c r="L117" s="15">
        <v>133</v>
      </c>
      <c r="M117" s="15">
        <v>6</v>
      </c>
      <c r="N117" s="15" t="s">
        <v>107</v>
      </c>
      <c r="O117" s="15" t="s">
        <v>45</v>
      </c>
      <c r="P117" s="15" t="s">
        <v>25</v>
      </c>
      <c r="Q117" s="15" t="s">
        <v>46</v>
      </c>
    </row>
    <row r="118" spans="1:17" x14ac:dyDescent="0.3">
      <c r="A118" s="11" t="s">
        <v>296</v>
      </c>
      <c r="B118" s="12">
        <v>2.3340000000000001</v>
      </c>
      <c r="C118" s="12">
        <v>0.6</v>
      </c>
      <c r="D118" s="12">
        <v>7.6999999999999999E-2</v>
      </c>
      <c r="E118" s="12">
        <v>0.41099999999999998</v>
      </c>
      <c r="F118" s="12">
        <v>8.4000000000000005E-2</v>
      </c>
      <c r="G118" s="12">
        <v>0.249</v>
      </c>
      <c r="H118" s="12">
        <f>SUM(B118:G118)</f>
        <v>3.7550000000000003</v>
      </c>
      <c r="I118" s="12" t="s">
        <v>340</v>
      </c>
      <c r="J118" s="12" t="s">
        <v>21</v>
      </c>
      <c r="K118" s="12">
        <v>616</v>
      </c>
      <c r="L118" s="12">
        <v>133</v>
      </c>
      <c r="M118" s="12">
        <v>6</v>
      </c>
      <c r="N118" s="12" t="s">
        <v>107</v>
      </c>
      <c r="O118" s="12" t="s">
        <v>45</v>
      </c>
      <c r="P118" s="12" t="s">
        <v>25</v>
      </c>
      <c r="Q118" s="12" t="s">
        <v>46</v>
      </c>
    </row>
    <row r="119" spans="1:17" ht="15" thickBot="1" x14ac:dyDescent="0.35">
      <c r="A119" s="14" t="s">
        <v>297</v>
      </c>
      <c r="B119" s="15">
        <v>2.4780000000000002</v>
      </c>
      <c r="C119" s="15">
        <v>0.61399999999999999</v>
      </c>
      <c r="D119" s="15">
        <v>7.8E-2</v>
      </c>
      <c r="E119" s="15">
        <v>0.41299999999999998</v>
      </c>
      <c r="F119" s="15">
        <v>8.8999999999999996E-2</v>
      </c>
      <c r="G119" s="15">
        <v>0.25</v>
      </c>
      <c r="H119" s="15">
        <f>SUM(B119:G119)</f>
        <v>3.9219999999999997</v>
      </c>
      <c r="I119" s="15" t="s">
        <v>340</v>
      </c>
      <c r="J119" s="15" t="s">
        <v>21</v>
      </c>
      <c r="K119" s="15">
        <v>616</v>
      </c>
      <c r="L119" s="15">
        <v>133</v>
      </c>
      <c r="M119" s="15">
        <v>6</v>
      </c>
      <c r="N119" s="15" t="s">
        <v>107</v>
      </c>
      <c r="O119" s="15" t="s">
        <v>45</v>
      </c>
      <c r="P119" s="15" t="s">
        <v>25</v>
      </c>
      <c r="Q119" s="15" t="s">
        <v>46</v>
      </c>
    </row>
    <row r="120" spans="1:17" x14ac:dyDescent="0.3">
      <c r="A120" s="17" t="s">
        <v>298</v>
      </c>
      <c r="B120" s="18">
        <v>6.1589999999999998</v>
      </c>
      <c r="C120" s="18">
        <v>0.85</v>
      </c>
      <c r="D120" s="18">
        <v>6.8000000000000005E-2</v>
      </c>
      <c r="E120" s="18">
        <v>0.78500000000000003</v>
      </c>
      <c r="F120" s="18">
        <v>0.1</v>
      </c>
      <c r="G120" s="18">
        <v>0.26200000000000001</v>
      </c>
      <c r="H120" s="18">
        <f>SUM(B120:G120)</f>
        <v>8.2239999999999984</v>
      </c>
      <c r="I120" s="18" t="s">
        <v>340</v>
      </c>
      <c r="J120" s="18" t="s">
        <v>21</v>
      </c>
      <c r="K120" s="18">
        <v>127</v>
      </c>
      <c r="L120" s="18">
        <v>106</v>
      </c>
      <c r="M120" s="18">
        <v>1</v>
      </c>
      <c r="N120" s="18" t="s">
        <v>107</v>
      </c>
      <c r="O120" s="18" t="s">
        <v>45</v>
      </c>
      <c r="P120" s="18" t="s">
        <v>65</v>
      </c>
      <c r="Q120" s="18" t="s">
        <v>66</v>
      </c>
    </row>
    <row r="121" spans="1:17" ht="15" thickBot="1" x14ac:dyDescent="0.35">
      <c r="A121" s="20" t="s">
        <v>299</v>
      </c>
      <c r="B121" s="21">
        <v>6.274</v>
      </c>
      <c r="C121" s="21">
        <v>0.83599999999999997</v>
      </c>
      <c r="D121" s="21">
        <v>6.8000000000000005E-2</v>
      </c>
      <c r="E121" s="21">
        <v>0.77700000000000002</v>
      </c>
      <c r="F121" s="21">
        <v>9.9000000000000005E-2</v>
      </c>
      <c r="G121" s="21">
        <v>0.26200000000000001</v>
      </c>
      <c r="H121" s="21">
        <f>SUM(B121:G121)</f>
        <v>8.3160000000000007</v>
      </c>
      <c r="I121" s="21" t="s">
        <v>340</v>
      </c>
      <c r="J121" s="21" t="s">
        <v>21</v>
      </c>
      <c r="K121" s="21">
        <v>127</v>
      </c>
      <c r="L121" s="21">
        <v>106</v>
      </c>
      <c r="M121" s="21">
        <v>1</v>
      </c>
      <c r="N121" s="21" t="s">
        <v>107</v>
      </c>
      <c r="O121" s="21" t="s">
        <v>45</v>
      </c>
      <c r="P121" s="21" t="s">
        <v>65</v>
      </c>
      <c r="Q121" s="21" t="s">
        <v>66</v>
      </c>
    </row>
    <row r="122" spans="1:17" x14ac:dyDescent="0.3">
      <c r="A122" s="17" t="s">
        <v>300</v>
      </c>
      <c r="B122" s="18">
        <v>1.825</v>
      </c>
      <c r="C122" s="18">
        <v>0.40699999999999997</v>
      </c>
      <c r="D122" s="18">
        <v>5.1999999999999998E-2</v>
      </c>
      <c r="E122" s="18">
        <v>0.314</v>
      </c>
      <c r="F122" s="18">
        <v>6.5000000000000002E-2</v>
      </c>
      <c r="G122" s="18">
        <v>0.224</v>
      </c>
      <c r="H122" s="18">
        <f>SUM(B122:G122)</f>
        <v>2.887</v>
      </c>
      <c r="I122" s="18" t="s">
        <v>340</v>
      </c>
      <c r="J122" s="18" t="s">
        <v>21</v>
      </c>
      <c r="K122" s="18">
        <v>229</v>
      </c>
      <c r="L122" s="18">
        <v>124</v>
      </c>
      <c r="M122" s="18">
        <v>2</v>
      </c>
      <c r="N122" s="18" t="s">
        <v>107</v>
      </c>
      <c r="O122" s="18" t="s">
        <v>45</v>
      </c>
      <c r="P122" s="18" t="s">
        <v>65</v>
      </c>
      <c r="Q122" s="18" t="s">
        <v>66</v>
      </c>
    </row>
    <row r="123" spans="1:17" ht="15" thickBot="1" x14ac:dyDescent="0.35">
      <c r="A123" s="20" t="s">
        <v>301</v>
      </c>
      <c r="B123" s="21">
        <v>1.829</v>
      </c>
      <c r="C123" s="21">
        <v>0.41099999999999998</v>
      </c>
      <c r="D123" s="21">
        <v>5.1999999999999998E-2</v>
      </c>
      <c r="E123" s="21">
        <v>0.312</v>
      </c>
      <c r="F123" s="21">
        <v>5.8999999999999997E-2</v>
      </c>
      <c r="G123" s="21">
        <v>0.224</v>
      </c>
      <c r="H123" s="21">
        <f>SUM(B123:G123)</f>
        <v>2.887</v>
      </c>
      <c r="I123" s="21" t="s">
        <v>340</v>
      </c>
      <c r="J123" s="21" t="s">
        <v>21</v>
      </c>
      <c r="K123" s="21">
        <v>229</v>
      </c>
      <c r="L123" s="21">
        <v>124</v>
      </c>
      <c r="M123" s="21">
        <v>2</v>
      </c>
      <c r="N123" s="21" t="s">
        <v>107</v>
      </c>
      <c r="O123" s="21" t="s">
        <v>45</v>
      </c>
      <c r="P123" s="21" t="s">
        <v>65</v>
      </c>
      <c r="Q123" s="21" t="s">
        <v>66</v>
      </c>
    </row>
    <row r="124" spans="1:17" x14ac:dyDescent="0.3">
      <c r="A124" s="17" t="s">
        <v>302</v>
      </c>
      <c r="B124" s="18">
        <v>2.4580000000000002</v>
      </c>
      <c r="C124" s="18">
        <v>0.53</v>
      </c>
      <c r="D124" s="18">
        <v>6.7000000000000004E-2</v>
      </c>
      <c r="E124" s="18">
        <v>0.38200000000000001</v>
      </c>
      <c r="F124" s="18">
        <v>7.3999999999999996E-2</v>
      </c>
      <c r="G124" s="18">
        <v>0.24099999999999999</v>
      </c>
      <c r="H124" s="18">
        <f>SUM(B124:G124)</f>
        <v>3.7520000000000007</v>
      </c>
      <c r="I124" s="18" t="s">
        <v>340</v>
      </c>
      <c r="J124" s="18" t="s">
        <v>21</v>
      </c>
      <c r="K124" s="18">
        <v>240</v>
      </c>
      <c r="L124" s="18">
        <v>128</v>
      </c>
      <c r="M124" s="18">
        <v>2</v>
      </c>
      <c r="N124" s="18" t="s">
        <v>107</v>
      </c>
      <c r="O124" s="18" t="s">
        <v>45</v>
      </c>
      <c r="P124" s="18" t="s">
        <v>65</v>
      </c>
      <c r="Q124" s="18" t="s">
        <v>66</v>
      </c>
    </row>
    <row r="125" spans="1:17" ht="15" thickBot="1" x14ac:dyDescent="0.35">
      <c r="A125" s="20" t="s">
        <v>303</v>
      </c>
      <c r="B125" s="21">
        <v>2.577</v>
      </c>
      <c r="C125" s="21">
        <v>0.53400000000000003</v>
      </c>
      <c r="D125" s="21">
        <v>6.7000000000000004E-2</v>
      </c>
      <c r="E125" s="21">
        <v>0.38100000000000001</v>
      </c>
      <c r="F125" s="21">
        <v>7.0999999999999994E-2</v>
      </c>
      <c r="G125" s="21">
        <v>0.23899999999999999</v>
      </c>
      <c r="H125" s="21">
        <f>SUM(B125:G125)</f>
        <v>3.8690000000000002</v>
      </c>
      <c r="I125" s="21" t="s">
        <v>340</v>
      </c>
      <c r="J125" s="21" t="s">
        <v>21</v>
      </c>
      <c r="K125" s="21">
        <v>240</v>
      </c>
      <c r="L125" s="21">
        <v>128</v>
      </c>
      <c r="M125" s="21">
        <v>2</v>
      </c>
      <c r="N125" s="21" t="s">
        <v>107</v>
      </c>
      <c r="O125" s="21" t="s">
        <v>45</v>
      </c>
      <c r="P125" s="21" t="s">
        <v>65</v>
      </c>
      <c r="Q125" s="21" t="s">
        <v>66</v>
      </c>
    </row>
    <row r="126" spans="1:17" x14ac:dyDescent="0.3">
      <c r="A126" s="17" t="s">
        <v>304</v>
      </c>
      <c r="B126" s="18">
        <v>4.1340000000000003</v>
      </c>
      <c r="C126" s="18">
        <v>0.84499999999999997</v>
      </c>
      <c r="D126" s="18">
        <v>6.5000000000000002E-2</v>
      </c>
      <c r="E126" s="18">
        <v>0.66300000000000003</v>
      </c>
      <c r="F126" s="18">
        <v>0.08</v>
      </c>
      <c r="G126" s="18">
        <v>0.248</v>
      </c>
      <c r="H126" s="18">
        <f>SUM(B126:G126)</f>
        <v>6.035000000000001</v>
      </c>
      <c r="I126" s="18" t="s">
        <v>340</v>
      </c>
      <c r="J126" s="18" t="s">
        <v>21</v>
      </c>
      <c r="K126" s="18">
        <v>313</v>
      </c>
      <c r="L126" s="18">
        <v>114</v>
      </c>
      <c r="M126" s="18">
        <v>3</v>
      </c>
      <c r="N126" s="18" t="s">
        <v>107</v>
      </c>
      <c r="O126" s="18" t="s">
        <v>45</v>
      </c>
      <c r="P126" s="18" t="s">
        <v>65</v>
      </c>
      <c r="Q126" s="18" t="s">
        <v>66</v>
      </c>
    </row>
    <row r="127" spans="1:17" ht="15" thickBot="1" x14ac:dyDescent="0.35">
      <c r="A127" s="20" t="s">
        <v>305</v>
      </c>
      <c r="B127" s="21">
        <v>4.157</v>
      </c>
      <c r="C127" s="21">
        <v>0.85</v>
      </c>
      <c r="D127" s="21">
        <v>6.4000000000000001E-2</v>
      </c>
      <c r="E127" s="21">
        <v>0.66400000000000003</v>
      </c>
      <c r="F127" s="21">
        <v>8.2000000000000003E-2</v>
      </c>
      <c r="G127" s="21">
        <v>0.247</v>
      </c>
      <c r="H127" s="21">
        <f>SUM(B127:G127)</f>
        <v>6.0639999999999992</v>
      </c>
      <c r="I127" s="21" t="s">
        <v>340</v>
      </c>
      <c r="J127" s="21" t="s">
        <v>21</v>
      </c>
      <c r="K127" s="21">
        <v>313</v>
      </c>
      <c r="L127" s="21">
        <v>114</v>
      </c>
      <c r="M127" s="21">
        <v>3</v>
      </c>
      <c r="N127" s="21" t="s">
        <v>107</v>
      </c>
      <c r="O127" s="21" t="s">
        <v>45</v>
      </c>
      <c r="P127" s="21" t="s">
        <v>65</v>
      </c>
      <c r="Q127" s="21" t="s">
        <v>66</v>
      </c>
    </row>
    <row r="128" spans="1:17" x14ac:dyDescent="0.3">
      <c r="A128" s="17" t="s">
        <v>306</v>
      </c>
      <c r="B128" s="18">
        <v>6.2720000000000002</v>
      </c>
      <c r="C128" s="18">
        <v>1.238</v>
      </c>
      <c r="D128" s="18">
        <v>8.2000000000000003E-2</v>
      </c>
      <c r="E128" s="18">
        <v>0.90400000000000003</v>
      </c>
      <c r="F128" s="18">
        <v>0.10299999999999999</v>
      </c>
      <c r="G128" s="18">
        <v>0.27800000000000002</v>
      </c>
      <c r="H128" s="18">
        <f>SUM(B128:G128)</f>
        <v>8.8770000000000007</v>
      </c>
      <c r="I128" s="18" t="s">
        <v>340</v>
      </c>
      <c r="J128" s="18" t="s">
        <v>21</v>
      </c>
      <c r="K128" s="18">
        <v>316</v>
      </c>
      <c r="L128" s="18">
        <v>114</v>
      </c>
      <c r="M128" s="18">
        <v>3</v>
      </c>
      <c r="N128" s="18" t="s">
        <v>107</v>
      </c>
      <c r="O128" s="18" t="s">
        <v>45</v>
      </c>
      <c r="P128" s="18" t="s">
        <v>65</v>
      </c>
      <c r="Q128" s="18" t="s">
        <v>66</v>
      </c>
    </row>
    <row r="129" spans="1:17" ht="15" thickBot="1" x14ac:dyDescent="0.35">
      <c r="A129" s="20" t="s">
        <v>307</v>
      </c>
      <c r="B129" s="21">
        <v>6.1239999999999997</v>
      </c>
      <c r="C129" s="21">
        <v>1.2290000000000001</v>
      </c>
      <c r="D129" s="21">
        <v>0.08</v>
      </c>
      <c r="E129" s="21">
        <v>0.94</v>
      </c>
      <c r="F129" s="21">
        <v>0.109</v>
      </c>
      <c r="G129" s="21">
        <v>0.27900000000000003</v>
      </c>
      <c r="H129" s="21">
        <f>SUM(B129:G129)</f>
        <v>8.7609999999999992</v>
      </c>
      <c r="I129" s="21" t="s">
        <v>340</v>
      </c>
      <c r="J129" s="21" t="s">
        <v>21</v>
      </c>
      <c r="K129" s="21">
        <v>316</v>
      </c>
      <c r="L129" s="21">
        <v>114</v>
      </c>
      <c r="M129" s="21">
        <v>3</v>
      </c>
      <c r="N129" s="21" t="s">
        <v>107</v>
      </c>
      <c r="O129" s="21" t="s">
        <v>45</v>
      </c>
      <c r="P129" s="21" t="s">
        <v>65</v>
      </c>
      <c r="Q129" s="21" t="s">
        <v>66</v>
      </c>
    </row>
    <row r="130" spans="1:17" x14ac:dyDescent="0.3">
      <c r="A130" s="17" t="s">
        <v>308</v>
      </c>
      <c r="B130" s="18">
        <v>3.8879999999999999</v>
      </c>
      <c r="C130" s="18">
        <v>0.80100000000000005</v>
      </c>
      <c r="D130" s="18">
        <v>8.2000000000000003E-2</v>
      </c>
      <c r="E130" s="18">
        <v>0.45</v>
      </c>
      <c r="F130" s="18">
        <v>9.7000000000000003E-2</v>
      </c>
      <c r="G130" s="18">
        <v>0.251</v>
      </c>
      <c r="H130" s="18">
        <f>SUM(B130:G130)</f>
        <v>5.5690000000000008</v>
      </c>
      <c r="I130" s="18" t="s">
        <v>340</v>
      </c>
      <c r="J130" s="18" t="s">
        <v>21</v>
      </c>
      <c r="K130" s="18">
        <v>317</v>
      </c>
      <c r="L130" s="18">
        <v>114</v>
      </c>
      <c r="M130" s="18">
        <v>3</v>
      </c>
      <c r="N130" s="18" t="s">
        <v>107</v>
      </c>
      <c r="O130" s="18" t="s">
        <v>45</v>
      </c>
      <c r="P130" s="18" t="s">
        <v>65</v>
      </c>
      <c r="Q130" s="18" t="s">
        <v>66</v>
      </c>
    </row>
    <row r="131" spans="1:17" ht="15" thickBot="1" x14ac:dyDescent="0.35">
      <c r="A131" s="20" t="s">
        <v>309</v>
      </c>
      <c r="B131" s="21">
        <v>3.746</v>
      </c>
      <c r="C131" s="21">
        <v>0.82299999999999995</v>
      </c>
      <c r="D131" s="21">
        <v>8.7999999999999995E-2</v>
      </c>
      <c r="E131" s="21">
        <v>0.46800000000000003</v>
      </c>
      <c r="F131" s="21">
        <v>0.11899999999999999</v>
      </c>
      <c r="G131" s="21">
        <v>0.26400000000000001</v>
      </c>
      <c r="H131" s="21">
        <f>SUM(B131:G131)</f>
        <v>5.508</v>
      </c>
      <c r="I131" s="21" t="s">
        <v>340</v>
      </c>
      <c r="J131" s="21" t="s">
        <v>21</v>
      </c>
      <c r="K131" s="21">
        <v>317</v>
      </c>
      <c r="L131" s="21">
        <v>114</v>
      </c>
      <c r="M131" s="21">
        <v>3</v>
      </c>
      <c r="N131" s="21" t="s">
        <v>107</v>
      </c>
      <c r="O131" s="21" t="s">
        <v>45</v>
      </c>
      <c r="P131" s="21" t="s">
        <v>65</v>
      </c>
      <c r="Q131" s="21" t="s">
        <v>66</v>
      </c>
    </row>
    <row r="132" spans="1:17" x14ac:dyDescent="0.3">
      <c r="A132" s="17" t="s">
        <v>310</v>
      </c>
      <c r="B132" s="18">
        <v>5.6970000000000001</v>
      </c>
      <c r="C132" s="18">
        <v>0.94</v>
      </c>
      <c r="D132" s="18">
        <v>6.0999999999999999E-2</v>
      </c>
      <c r="E132" s="18">
        <v>0.89100000000000001</v>
      </c>
      <c r="F132" s="18">
        <v>7.5999999999999998E-2</v>
      </c>
      <c r="G132" s="18">
        <v>0.248</v>
      </c>
      <c r="H132" s="18">
        <f>SUM(B132:G132)</f>
        <v>7.9130000000000003</v>
      </c>
      <c r="I132" s="18" t="s">
        <v>340</v>
      </c>
      <c r="J132" s="18" t="s">
        <v>21</v>
      </c>
      <c r="K132" s="18">
        <v>318</v>
      </c>
      <c r="L132" s="18">
        <v>114</v>
      </c>
      <c r="M132" s="18">
        <v>3</v>
      </c>
      <c r="N132" s="18" t="s">
        <v>107</v>
      </c>
      <c r="O132" s="18" t="s">
        <v>45</v>
      </c>
      <c r="P132" s="18" t="s">
        <v>65</v>
      </c>
      <c r="Q132" s="18" t="s">
        <v>66</v>
      </c>
    </row>
    <row r="133" spans="1:17" ht="15" thickBot="1" x14ac:dyDescent="0.35">
      <c r="A133" s="20" t="s">
        <v>311</v>
      </c>
      <c r="B133" s="21">
        <v>6.125</v>
      </c>
      <c r="C133" s="21">
        <v>0.96699999999999997</v>
      </c>
      <c r="D133" s="21">
        <v>6.2E-2</v>
      </c>
      <c r="E133" s="21">
        <v>0.92200000000000004</v>
      </c>
      <c r="F133" s="21">
        <v>8.6999999999999994E-2</v>
      </c>
      <c r="G133" s="21">
        <v>0.248</v>
      </c>
      <c r="H133" s="21">
        <f>SUM(B133:G133)</f>
        <v>8.4109999999999996</v>
      </c>
      <c r="I133" s="21" t="s">
        <v>340</v>
      </c>
      <c r="J133" s="21" t="s">
        <v>21</v>
      </c>
      <c r="K133" s="21">
        <v>318</v>
      </c>
      <c r="L133" s="21">
        <v>114</v>
      </c>
      <c r="M133" s="21">
        <v>3</v>
      </c>
      <c r="N133" s="21" t="s">
        <v>107</v>
      </c>
      <c r="O133" s="21" t="s">
        <v>45</v>
      </c>
      <c r="P133" s="21" t="s">
        <v>65</v>
      </c>
      <c r="Q133" s="21" t="s">
        <v>66</v>
      </c>
    </row>
    <row r="134" spans="1:17" x14ac:dyDescent="0.3">
      <c r="A134" s="17" t="s">
        <v>312</v>
      </c>
      <c r="B134" s="18">
        <v>4.6020000000000003</v>
      </c>
      <c r="C134" s="18">
        <v>0.88500000000000001</v>
      </c>
      <c r="D134" s="18">
        <v>0.1</v>
      </c>
      <c r="E134" s="18">
        <v>0.76800000000000002</v>
      </c>
      <c r="F134" s="18">
        <v>0.126</v>
      </c>
      <c r="G134" s="18">
        <v>0.252</v>
      </c>
      <c r="H134" s="18">
        <f>SUM(B134:G134)</f>
        <v>6.7329999999999997</v>
      </c>
      <c r="I134" s="18" t="s">
        <v>340</v>
      </c>
      <c r="J134" s="18" t="s">
        <v>21</v>
      </c>
      <c r="K134" s="18">
        <v>621</v>
      </c>
      <c r="L134" s="18">
        <v>118</v>
      </c>
      <c r="M134" s="18">
        <v>6</v>
      </c>
      <c r="N134" s="18" t="s">
        <v>107</v>
      </c>
      <c r="O134" s="18" t="s">
        <v>45</v>
      </c>
      <c r="P134" s="18" t="s">
        <v>65</v>
      </c>
      <c r="Q134" s="18" t="s">
        <v>66</v>
      </c>
    </row>
    <row r="135" spans="1:17" ht="15" thickBot="1" x14ac:dyDescent="0.35">
      <c r="A135" s="20" t="s">
        <v>313</v>
      </c>
      <c r="B135" s="21">
        <v>4.9390000000000001</v>
      </c>
      <c r="C135" s="21">
        <v>0.90700000000000003</v>
      </c>
      <c r="D135" s="21">
        <v>0.1</v>
      </c>
      <c r="E135" s="21">
        <v>0.78300000000000003</v>
      </c>
      <c r="F135" s="21">
        <v>0.11700000000000001</v>
      </c>
      <c r="G135" s="21">
        <v>0.254</v>
      </c>
      <c r="H135" s="21">
        <f>SUM(B135:G135)</f>
        <v>7.1</v>
      </c>
      <c r="I135" s="21" t="s">
        <v>340</v>
      </c>
      <c r="J135" s="21" t="s">
        <v>21</v>
      </c>
      <c r="K135" s="21">
        <v>621</v>
      </c>
      <c r="L135" s="21">
        <v>118</v>
      </c>
      <c r="M135" s="21">
        <v>6</v>
      </c>
      <c r="N135" s="21" t="s">
        <v>107</v>
      </c>
      <c r="O135" s="21" t="s">
        <v>45</v>
      </c>
      <c r="P135" s="21" t="s">
        <v>65</v>
      </c>
      <c r="Q135" s="21" t="s">
        <v>66</v>
      </c>
    </row>
    <row r="136" spans="1:17" x14ac:dyDescent="0.3">
      <c r="A136" s="17" t="s">
        <v>314</v>
      </c>
      <c r="B136" s="18">
        <v>4.2290000000000001</v>
      </c>
      <c r="C136" s="18">
        <v>0.74099999999999999</v>
      </c>
      <c r="D136" s="18">
        <v>8.3000000000000004E-2</v>
      </c>
      <c r="E136" s="18">
        <v>0.65400000000000003</v>
      </c>
      <c r="F136" s="18">
        <v>0.10299999999999999</v>
      </c>
      <c r="G136" s="18">
        <v>0.25</v>
      </c>
      <c r="H136" s="18">
        <f>SUM(B136:G136)</f>
        <v>6.06</v>
      </c>
      <c r="I136" s="18" t="s">
        <v>340</v>
      </c>
      <c r="J136" s="18" t="s">
        <v>21</v>
      </c>
      <c r="K136" s="18">
        <v>622</v>
      </c>
      <c r="L136" s="18">
        <v>118</v>
      </c>
      <c r="M136" s="18">
        <v>6</v>
      </c>
      <c r="N136" s="18" t="s">
        <v>107</v>
      </c>
      <c r="O136" s="18" t="s">
        <v>45</v>
      </c>
      <c r="P136" s="18" t="s">
        <v>65</v>
      </c>
      <c r="Q136" s="18" t="s">
        <v>66</v>
      </c>
    </row>
    <row r="137" spans="1:17" ht="15" thickBot="1" x14ac:dyDescent="0.35">
      <c r="A137" s="20" t="s">
        <v>315</v>
      </c>
      <c r="B137" s="21">
        <v>4.3319999999999999</v>
      </c>
      <c r="C137" s="21">
        <v>0.747</v>
      </c>
      <c r="D137" s="21">
        <v>8.4000000000000005E-2</v>
      </c>
      <c r="E137" s="21">
        <v>0.64800000000000002</v>
      </c>
      <c r="F137" s="21">
        <v>0.10299999999999999</v>
      </c>
      <c r="G137" s="21">
        <v>0.25</v>
      </c>
      <c r="H137" s="21">
        <f>SUM(B137:G137)</f>
        <v>6.1639999999999988</v>
      </c>
      <c r="I137" s="21" t="s">
        <v>340</v>
      </c>
      <c r="J137" s="21" t="s">
        <v>21</v>
      </c>
      <c r="K137" s="21">
        <v>622</v>
      </c>
      <c r="L137" s="21">
        <v>118</v>
      </c>
      <c r="M137" s="21">
        <v>6</v>
      </c>
      <c r="N137" s="21" t="s">
        <v>107</v>
      </c>
      <c r="O137" s="21" t="s">
        <v>45</v>
      </c>
      <c r="P137" s="21" t="s">
        <v>65</v>
      </c>
      <c r="Q137" s="21" t="s">
        <v>66</v>
      </c>
    </row>
    <row r="138" spans="1:17" x14ac:dyDescent="0.3">
      <c r="A138" s="17" t="s">
        <v>316</v>
      </c>
      <c r="B138" s="18">
        <v>4.2640000000000002</v>
      </c>
      <c r="C138" s="18">
        <v>0.74299999999999999</v>
      </c>
      <c r="D138" s="18">
        <v>7.4999999999999997E-2</v>
      </c>
      <c r="E138" s="18">
        <v>1</v>
      </c>
      <c r="F138" s="18">
        <v>9.7000000000000003E-2</v>
      </c>
      <c r="G138" s="18">
        <v>0.246</v>
      </c>
      <c r="H138" s="18">
        <f>SUM(B138:G138)</f>
        <v>6.4250000000000007</v>
      </c>
      <c r="I138" s="18" t="s">
        <v>340</v>
      </c>
      <c r="J138" s="18" t="s">
        <v>21</v>
      </c>
      <c r="K138" s="18">
        <v>627</v>
      </c>
      <c r="L138" s="18">
        <v>136</v>
      </c>
      <c r="M138" s="18">
        <v>6</v>
      </c>
      <c r="N138" s="18" t="s">
        <v>107</v>
      </c>
      <c r="O138" s="18" t="s">
        <v>45</v>
      </c>
      <c r="P138" s="18" t="s">
        <v>65</v>
      </c>
      <c r="Q138" s="18" t="s">
        <v>66</v>
      </c>
    </row>
    <row r="139" spans="1:17" ht="15" thickBot="1" x14ac:dyDescent="0.35">
      <c r="A139" s="20" t="s">
        <v>317</v>
      </c>
      <c r="B139" s="21">
        <v>4.718</v>
      </c>
      <c r="C139" s="21">
        <v>0.77700000000000002</v>
      </c>
      <c r="D139" s="21">
        <v>7.6999999999999999E-2</v>
      </c>
      <c r="E139" s="21">
        <v>1.052</v>
      </c>
      <c r="F139" s="21">
        <v>0.10100000000000001</v>
      </c>
      <c r="G139" s="21">
        <v>0.249</v>
      </c>
      <c r="H139" s="21">
        <f>SUM(B139:G139)</f>
        <v>6.9740000000000002</v>
      </c>
      <c r="I139" s="21" t="s">
        <v>340</v>
      </c>
      <c r="J139" s="21" t="s">
        <v>21</v>
      </c>
      <c r="K139" s="21">
        <v>627</v>
      </c>
      <c r="L139" s="21">
        <v>136</v>
      </c>
      <c r="M139" s="21">
        <v>6</v>
      </c>
      <c r="N139" s="21" t="s">
        <v>107</v>
      </c>
      <c r="O139" s="21" t="s">
        <v>45</v>
      </c>
      <c r="P139" s="21" t="s">
        <v>65</v>
      </c>
      <c r="Q139" s="21" t="s">
        <v>66</v>
      </c>
    </row>
    <row r="140" spans="1:17" x14ac:dyDescent="0.3">
      <c r="A140" s="17" t="s">
        <v>318</v>
      </c>
      <c r="B140" s="18">
        <v>2.6819999999999999</v>
      </c>
      <c r="C140" s="18">
        <v>0.51900000000000002</v>
      </c>
      <c r="D140" s="18">
        <v>0.05</v>
      </c>
      <c r="E140" s="18">
        <v>0.38</v>
      </c>
      <c r="F140" s="18">
        <v>6.4000000000000001E-2</v>
      </c>
      <c r="G140" s="18">
        <v>0.23200000000000001</v>
      </c>
      <c r="H140" s="18">
        <f>SUM(B140:G140)</f>
        <v>3.927</v>
      </c>
      <c r="I140" s="18" t="s">
        <v>340</v>
      </c>
      <c r="J140" s="18" t="s">
        <v>21</v>
      </c>
      <c r="K140" s="18">
        <v>628</v>
      </c>
      <c r="L140" s="18">
        <v>136</v>
      </c>
      <c r="M140" s="18">
        <v>6</v>
      </c>
      <c r="N140" s="18" t="s">
        <v>107</v>
      </c>
      <c r="O140" s="18" t="s">
        <v>45</v>
      </c>
      <c r="P140" s="18" t="s">
        <v>65</v>
      </c>
      <c r="Q140" s="18" t="s">
        <v>66</v>
      </c>
    </row>
    <row r="141" spans="1:17" ht="15" thickBot="1" x14ac:dyDescent="0.35">
      <c r="A141" s="20" t="s">
        <v>319</v>
      </c>
      <c r="B141" s="21">
        <v>2.6760000000000002</v>
      </c>
      <c r="C141" s="21">
        <v>0.51</v>
      </c>
      <c r="D141" s="21">
        <v>4.9000000000000002E-2</v>
      </c>
      <c r="E141" s="21">
        <v>0.38100000000000001</v>
      </c>
      <c r="F141" s="21">
        <v>6.4000000000000001E-2</v>
      </c>
      <c r="G141" s="21">
        <v>0.23200000000000001</v>
      </c>
      <c r="H141" s="21">
        <f>SUM(B141:G141)</f>
        <v>3.9119999999999999</v>
      </c>
      <c r="I141" s="21" t="s">
        <v>340</v>
      </c>
      <c r="J141" s="21" t="s">
        <v>21</v>
      </c>
      <c r="K141" s="21">
        <v>628</v>
      </c>
      <c r="L141" s="21">
        <v>136</v>
      </c>
      <c r="M141" s="21">
        <v>6</v>
      </c>
      <c r="N141" s="21" t="s">
        <v>107</v>
      </c>
      <c r="O141" s="21" t="s">
        <v>45</v>
      </c>
      <c r="P141" s="21" t="s">
        <v>65</v>
      </c>
      <c r="Q141" s="21" t="s">
        <v>66</v>
      </c>
    </row>
    <row r="142" spans="1:17" x14ac:dyDescent="0.3">
      <c r="A142" s="17" t="s">
        <v>320</v>
      </c>
      <c r="B142" s="18"/>
      <c r="C142" s="18"/>
      <c r="D142" s="18"/>
      <c r="E142" s="18"/>
      <c r="F142" s="18"/>
      <c r="G142" s="18"/>
      <c r="H142" s="18">
        <f>SUM(B142:G142)</f>
        <v>0</v>
      </c>
      <c r="I142" s="18" t="s">
        <v>340</v>
      </c>
      <c r="J142" s="18" t="s">
        <v>21</v>
      </c>
      <c r="K142" s="18">
        <v>629</v>
      </c>
      <c r="L142" s="18">
        <v>136</v>
      </c>
      <c r="M142" s="18">
        <v>6</v>
      </c>
      <c r="N142" s="18" t="s">
        <v>107</v>
      </c>
      <c r="O142" s="18" t="s">
        <v>45</v>
      </c>
      <c r="P142" s="18" t="s">
        <v>65</v>
      </c>
      <c r="Q142" s="18" t="s">
        <v>66</v>
      </c>
    </row>
    <row r="143" spans="1:17" ht="15" thickBot="1" x14ac:dyDescent="0.35">
      <c r="A143" s="20" t="s">
        <v>321</v>
      </c>
      <c r="B143" s="21"/>
      <c r="C143" s="21"/>
      <c r="D143" s="21"/>
      <c r="E143" s="21"/>
      <c r="F143" s="21"/>
      <c r="G143" s="21"/>
      <c r="H143" s="21">
        <f>SUM(B143:G143)</f>
        <v>0</v>
      </c>
      <c r="I143" s="21" t="s">
        <v>340</v>
      </c>
      <c r="J143" s="21" t="s">
        <v>21</v>
      </c>
      <c r="K143" s="21">
        <v>629</v>
      </c>
      <c r="L143" s="21">
        <v>136</v>
      </c>
      <c r="M143" s="21">
        <v>6</v>
      </c>
      <c r="N143" s="21" t="s">
        <v>107</v>
      </c>
      <c r="O143" s="21" t="s">
        <v>45</v>
      </c>
      <c r="P143" s="21" t="s">
        <v>65</v>
      </c>
      <c r="Q143" s="21" t="s">
        <v>66</v>
      </c>
    </row>
    <row r="144" spans="1:17" x14ac:dyDescent="0.3">
      <c r="A144" s="17" t="s">
        <v>322</v>
      </c>
      <c r="B144" s="18">
        <v>3.258</v>
      </c>
      <c r="C144" s="18">
        <v>0.66400000000000003</v>
      </c>
      <c r="D144" s="18">
        <v>6.0999999999999999E-2</v>
      </c>
      <c r="E144" s="18">
        <v>0.48199999999999998</v>
      </c>
      <c r="F144" s="18">
        <v>7.4999999999999997E-2</v>
      </c>
      <c r="G144" s="18">
        <v>0.23400000000000001</v>
      </c>
      <c r="H144" s="18">
        <f>SUM(B144:G144)</f>
        <v>4.774</v>
      </c>
      <c r="I144" s="18" t="s">
        <v>340</v>
      </c>
      <c r="J144" s="18" t="s">
        <v>21</v>
      </c>
      <c r="K144" s="18">
        <v>630</v>
      </c>
      <c r="L144" s="18">
        <v>136</v>
      </c>
      <c r="M144" s="18">
        <v>6</v>
      </c>
      <c r="N144" s="18" t="s">
        <v>107</v>
      </c>
      <c r="O144" s="18" t="s">
        <v>45</v>
      </c>
      <c r="P144" s="18" t="s">
        <v>65</v>
      </c>
      <c r="Q144" s="18" t="s">
        <v>66</v>
      </c>
    </row>
    <row r="145" spans="1:17" ht="15" thickBot="1" x14ac:dyDescent="0.35">
      <c r="A145" s="20" t="s">
        <v>323</v>
      </c>
      <c r="B145" s="21">
        <v>3.57</v>
      </c>
      <c r="C145" s="21">
        <v>0.66400000000000003</v>
      </c>
      <c r="D145" s="21">
        <v>0.06</v>
      </c>
      <c r="E145" s="21">
        <v>0.48</v>
      </c>
      <c r="F145" s="21">
        <v>7.2999999999999995E-2</v>
      </c>
      <c r="G145" s="21">
        <v>0.23499999999999999</v>
      </c>
      <c r="H145" s="21">
        <f>SUM(B145:G145)</f>
        <v>5.0819999999999999</v>
      </c>
      <c r="I145" s="21" t="s">
        <v>340</v>
      </c>
      <c r="J145" s="21" t="s">
        <v>21</v>
      </c>
      <c r="K145" s="21">
        <v>630</v>
      </c>
      <c r="L145" s="21">
        <v>136</v>
      </c>
      <c r="M145" s="21">
        <v>6</v>
      </c>
      <c r="N145" s="21" t="s">
        <v>107</v>
      </c>
      <c r="O145" s="21" t="s">
        <v>45</v>
      </c>
      <c r="P145" s="21" t="s">
        <v>65</v>
      </c>
      <c r="Q145" s="21" t="s">
        <v>66</v>
      </c>
    </row>
    <row r="146" spans="1:17" x14ac:dyDescent="0.3">
      <c r="A146" s="17" t="s">
        <v>324</v>
      </c>
      <c r="B146" s="18">
        <v>2.9420000000000002</v>
      </c>
      <c r="C146" s="18">
        <v>0.64300000000000002</v>
      </c>
      <c r="D146" s="18">
        <v>5.7000000000000002E-2</v>
      </c>
      <c r="E146" s="18">
        <v>0.42099999999999999</v>
      </c>
      <c r="F146" s="18">
        <v>7.0999999999999994E-2</v>
      </c>
      <c r="G146" s="18">
        <v>0.23799999999999999</v>
      </c>
      <c r="H146" s="18">
        <f>SUM(B146:G146)</f>
        <v>4.3719999999999999</v>
      </c>
      <c r="I146" s="18" t="s">
        <v>340</v>
      </c>
      <c r="J146" s="18" t="s">
        <v>21</v>
      </c>
      <c r="K146" s="18">
        <v>631</v>
      </c>
      <c r="L146" s="18">
        <v>136</v>
      </c>
      <c r="M146" s="18">
        <v>6</v>
      </c>
      <c r="N146" s="18" t="s">
        <v>107</v>
      </c>
      <c r="O146" s="18" t="s">
        <v>45</v>
      </c>
      <c r="P146" s="18" t="s">
        <v>65</v>
      </c>
      <c r="Q146" s="18" t="s">
        <v>66</v>
      </c>
    </row>
    <row r="147" spans="1:17" ht="15" thickBot="1" x14ac:dyDescent="0.35">
      <c r="A147" s="20" t="s">
        <v>325</v>
      </c>
      <c r="B147" s="21">
        <v>3.0779999999999998</v>
      </c>
      <c r="C147" s="21">
        <v>0.63800000000000001</v>
      </c>
      <c r="D147" s="21">
        <v>5.5E-2</v>
      </c>
      <c r="E147" s="21">
        <v>0.41799999999999998</v>
      </c>
      <c r="F147" s="21">
        <v>7.0000000000000007E-2</v>
      </c>
      <c r="G147" s="21">
        <v>0.23599999999999999</v>
      </c>
      <c r="H147" s="21">
        <f>SUM(B147:G147)</f>
        <v>4.4950000000000001</v>
      </c>
      <c r="I147" s="21" t="s">
        <v>340</v>
      </c>
      <c r="J147" s="21" t="s">
        <v>21</v>
      </c>
      <c r="K147" s="21">
        <v>631</v>
      </c>
      <c r="L147" s="21">
        <v>136</v>
      </c>
      <c r="M147" s="21">
        <v>6</v>
      </c>
      <c r="N147" s="21" t="s">
        <v>107</v>
      </c>
      <c r="O147" s="21" t="s">
        <v>45</v>
      </c>
      <c r="P147" s="21" t="s">
        <v>65</v>
      </c>
      <c r="Q147" s="21" t="s">
        <v>66</v>
      </c>
    </row>
    <row r="148" spans="1:17" x14ac:dyDescent="0.3">
      <c r="A148" s="26" t="s">
        <v>326</v>
      </c>
      <c r="B148" s="27">
        <v>2.6989999999999998</v>
      </c>
      <c r="C148" s="27">
        <v>0.63700000000000001</v>
      </c>
      <c r="D148" s="27">
        <v>7.1999999999999995E-2</v>
      </c>
      <c r="E148" s="27">
        <v>0.54700000000000004</v>
      </c>
      <c r="F148" s="27">
        <v>8.1000000000000003E-2</v>
      </c>
      <c r="G148" s="27">
        <v>0.245</v>
      </c>
      <c r="H148" s="27">
        <f>SUM(B148:G148)</f>
        <v>4.2810000000000006</v>
      </c>
      <c r="I148" s="27" t="s">
        <v>340</v>
      </c>
      <c r="J148" s="27" t="s">
        <v>21</v>
      </c>
      <c r="K148" s="27">
        <v>253</v>
      </c>
      <c r="L148" s="27">
        <v>127</v>
      </c>
      <c r="M148" s="27">
        <v>2</v>
      </c>
      <c r="N148" s="27" t="s">
        <v>107</v>
      </c>
      <c r="O148" s="27" t="s">
        <v>45</v>
      </c>
      <c r="P148" s="27">
        <v>1472</v>
      </c>
      <c r="Q148" s="27" t="s">
        <v>85</v>
      </c>
    </row>
    <row r="149" spans="1:17" ht="15" thickBot="1" x14ac:dyDescent="0.35">
      <c r="A149" s="29" t="s">
        <v>327</v>
      </c>
      <c r="B149" s="30">
        <v>2.4470000000000001</v>
      </c>
      <c r="C149" s="30">
        <v>0.61399999999999999</v>
      </c>
      <c r="D149" s="30">
        <v>7.0000000000000007E-2</v>
      </c>
      <c r="E149" s="30">
        <v>0.52900000000000003</v>
      </c>
      <c r="F149" s="30">
        <v>0.08</v>
      </c>
      <c r="G149" s="30">
        <v>0.24399999999999999</v>
      </c>
      <c r="H149" s="30">
        <f>SUM(B149:G149)</f>
        <v>3.984</v>
      </c>
      <c r="I149" s="30" t="s">
        <v>340</v>
      </c>
      <c r="J149" s="30" t="s">
        <v>21</v>
      </c>
      <c r="K149" s="30">
        <v>253</v>
      </c>
      <c r="L149" s="30">
        <v>127</v>
      </c>
      <c r="M149" s="30">
        <v>2</v>
      </c>
      <c r="N149" s="30" t="s">
        <v>107</v>
      </c>
      <c r="O149" s="30" t="s">
        <v>45</v>
      </c>
      <c r="P149" s="30">
        <v>1472</v>
      </c>
      <c r="Q149" s="30" t="s">
        <v>85</v>
      </c>
    </row>
    <row r="150" spans="1:17" x14ac:dyDescent="0.3">
      <c r="A150" s="26" t="s">
        <v>328</v>
      </c>
      <c r="B150" s="27">
        <v>2.0830000000000002</v>
      </c>
      <c r="C150" s="27">
        <v>0.54800000000000004</v>
      </c>
      <c r="D150" s="27">
        <v>0.06</v>
      </c>
      <c r="E150" s="27">
        <v>0.43</v>
      </c>
      <c r="F150" s="27">
        <v>7.5999999999999998E-2</v>
      </c>
      <c r="G150" s="27">
        <v>0.23799999999999999</v>
      </c>
      <c r="H150" s="27">
        <f>SUM(B150:G150)</f>
        <v>3.4350000000000005</v>
      </c>
      <c r="I150" s="27" t="s">
        <v>340</v>
      </c>
      <c r="J150" s="27" t="s">
        <v>21</v>
      </c>
      <c r="K150" s="27">
        <v>440</v>
      </c>
      <c r="L150" s="27">
        <v>116</v>
      </c>
      <c r="M150" s="27">
        <v>4</v>
      </c>
      <c r="N150" s="27" t="s">
        <v>107</v>
      </c>
      <c r="O150" s="27" t="s">
        <v>45</v>
      </c>
      <c r="P150" s="27">
        <v>1472</v>
      </c>
      <c r="Q150" s="27" t="s">
        <v>85</v>
      </c>
    </row>
    <row r="151" spans="1:17" ht="15" thickBot="1" x14ac:dyDescent="0.35">
      <c r="A151" s="29" t="s">
        <v>329</v>
      </c>
      <c r="B151" s="30">
        <v>2.161</v>
      </c>
      <c r="C151" s="30">
        <v>0.56100000000000005</v>
      </c>
      <c r="D151" s="30">
        <v>6.0999999999999999E-2</v>
      </c>
      <c r="E151" s="30">
        <v>0.438</v>
      </c>
      <c r="F151" s="30">
        <v>7.4999999999999997E-2</v>
      </c>
      <c r="G151" s="30">
        <v>0.23799999999999999</v>
      </c>
      <c r="H151" s="30">
        <f>SUM(B151:G151)</f>
        <v>3.5340000000000003</v>
      </c>
      <c r="I151" s="30" t="s">
        <v>340</v>
      </c>
      <c r="J151" s="30" t="s">
        <v>21</v>
      </c>
      <c r="K151" s="30">
        <v>440</v>
      </c>
      <c r="L151" s="30">
        <v>116</v>
      </c>
      <c r="M151" s="30">
        <v>4</v>
      </c>
      <c r="N151" s="30" t="s">
        <v>107</v>
      </c>
      <c r="O151" s="30" t="s">
        <v>45</v>
      </c>
      <c r="P151" s="30">
        <v>1472</v>
      </c>
      <c r="Q151" s="30" t="s">
        <v>85</v>
      </c>
    </row>
    <row r="152" spans="1:17" x14ac:dyDescent="0.3">
      <c r="A152" s="26" t="s">
        <v>330</v>
      </c>
      <c r="B152" s="27">
        <v>1.633</v>
      </c>
      <c r="C152" s="27">
        <v>0.53800000000000003</v>
      </c>
      <c r="D152" s="27">
        <v>5.8999999999999997E-2</v>
      </c>
      <c r="E152" s="27">
        <v>0.36399999999999999</v>
      </c>
      <c r="F152" s="27">
        <v>6.0999999999999999E-2</v>
      </c>
      <c r="G152" s="27">
        <v>0.23200000000000001</v>
      </c>
      <c r="H152" s="27">
        <f>SUM(B152:G152)</f>
        <v>2.8870000000000005</v>
      </c>
      <c r="I152" s="27" t="s">
        <v>340</v>
      </c>
      <c r="J152" s="27" t="s">
        <v>21</v>
      </c>
      <c r="K152" s="27">
        <v>505</v>
      </c>
      <c r="L152" s="27">
        <v>130</v>
      </c>
      <c r="M152" s="27">
        <v>5</v>
      </c>
      <c r="N152" s="27" t="s">
        <v>107</v>
      </c>
      <c r="O152" s="27" t="s">
        <v>45</v>
      </c>
      <c r="P152" s="27">
        <v>1472</v>
      </c>
      <c r="Q152" s="27" t="s">
        <v>85</v>
      </c>
    </row>
    <row r="153" spans="1:17" ht="15" thickBot="1" x14ac:dyDescent="0.35">
      <c r="A153" s="29" t="s">
        <v>331</v>
      </c>
      <c r="B153" s="30">
        <v>1.823</v>
      </c>
      <c r="C153" s="30">
        <v>0.56200000000000006</v>
      </c>
      <c r="D153" s="30">
        <v>0.06</v>
      </c>
      <c r="E153" s="30">
        <v>0.373</v>
      </c>
      <c r="F153" s="30">
        <v>6.7000000000000004E-2</v>
      </c>
      <c r="G153" s="30">
        <v>0.23300000000000001</v>
      </c>
      <c r="H153" s="30">
        <f>SUM(B153:G153)</f>
        <v>3.1179999999999999</v>
      </c>
      <c r="I153" s="30" t="s">
        <v>340</v>
      </c>
      <c r="J153" s="30" t="s">
        <v>21</v>
      </c>
      <c r="K153" s="30">
        <v>505</v>
      </c>
      <c r="L153" s="30">
        <v>130</v>
      </c>
      <c r="M153" s="30">
        <v>5</v>
      </c>
      <c r="N153" s="30" t="s">
        <v>107</v>
      </c>
      <c r="O153" s="30" t="s">
        <v>45</v>
      </c>
      <c r="P153" s="30">
        <v>1472</v>
      </c>
      <c r="Q153" s="30" t="s">
        <v>85</v>
      </c>
    </row>
    <row r="154" spans="1:17" x14ac:dyDescent="0.3">
      <c r="A154" s="26" t="s">
        <v>332</v>
      </c>
      <c r="B154" s="27">
        <v>3.5619999999999998</v>
      </c>
      <c r="C154" s="27">
        <v>0.83599999999999997</v>
      </c>
      <c r="D154" s="27">
        <v>8.3000000000000004E-2</v>
      </c>
      <c r="E154" s="27">
        <v>0.54500000000000004</v>
      </c>
      <c r="F154" s="27">
        <v>9.2999999999999999E-2</v>
      </c>
      <c r="G154" s="27">
        <v>0.26800000000000002</v>
      </c>
      <c r="H154" s="27">
        <f>SUM(B154:G154)</f>
        <v>5.3869999999999996</v>
      </c>
      <c r="I154" s="27" t="s">
        <v>340</v>
      </c>
      <c r="J154" s="27" t="s">
        <v>21</v>
      </c>
      <c r="K154" s="27">
        <v>635</v>
      </c>
      <c r="L154" s="27">
        <v>135</v>
      </c>
      <c r="M154" s="27">
        <v>6</v>
      </c>
      <c r="N154" s="27" t="s">
        <v>107</v>
      </c>
      <c r="O154" s="27" t="s">
        <v>45</v>
      </c>
      <c r="P154" s="27">
        <v>1472</v>
      </c>
      <c r="Q154" s="27" t="s">
        <v>85</v>
      </c>
    </row>
    <row r="155" spans="1:17" ht="15" thickBot="1" x14ac:dyDescent="0.35">
      <c r="A155" s="29" t="s">
        <v>333</v>
      </c>
      <c r="B155" s="30">
        <v>3.6030000000000002</v>
      </c>
      <c r="C155" s="30">
        <v>0.875</v>
      </c>
      <c r="D155" s="30">
        <v>8.4000000000000005E-2</v>
      </c>
      <c r="E155" s="30">
        <v>0.54900000000000004</v>
      </c>
      <c r="F155" s="30">
        <v>9.6000000000000002E-2</v>
      </c>
      <c r="G155" s="30">
        <v>0.26800000000000002</v>
      </c>
      <c r="H155" s="30">
        <f>SUM(B155:G155)</f>
        <v>5.4749999999999996</v>
      </c>
      <c r="I155" s="30" t="s">
        <v>340</v>
      </c>
      <c r="J155" s="30" t="s">
        <v>21</v>
      </c>
      <c r="K155" s="30">
        <v>635</v>
      </c>
      <c r="L155" s="30">
        <v>135</v>
      </c>
      <c r="M155" s="30">
        <v>6</v>
      </c>
      <c r="N155" s="30" t="s">
        <v>107</v>
      </c>
      <c r="O155" s="30" t="s">
        <v>45</v>
      </c>
      <c r="P155" s="30">
        <v>1472</v>
      </c>
      <c r="Q155" s="30" t="s">
        <v>85</v>
      </c>
    </row>
    <row r="156" spans="1:17" x14ac:dyDescent="0.3">
      <c r="A156" s="26" t="s">
        <v>334</v>
      </c>
      <c r="B156" s="27">
        <v>3.863</v>
      </c>
      <c r="C156" s="27">
        <v>0.83199999999999996</v>
      </c>
      <c r="D156" s="27">
        <v>8.8999999999999996E-2</v>
      </c>
      <c r="E156" s="27">
        <v>0.63500000000000001</v>
      </c>
      <c r="F156" s="27">
        <v>9.8000000000000004E-2</v>
      </c>
      <c r="G156" s="27">
        <v>0.27700000000000002</v>
      </c>
      <c r="H156" s="27">
        <f>SUM(B156:G156)</f>
        <v>5.7940000000000005</v>
      </c>
      <c r="I156" s="27" t="s">
        <v>340</v>
      </c>
      <c r="J156" s="27" t="s">
        <v>21</v>
      </c>
      <c r="K156" s="27">
        <v>636</v>
      </c>
      <c r="L156" s="27">
        <v>135</v>
      </c>
      <c r="M156" s="27">
        <v>6</v>
      </c>
      <c r="N156" s="27" t="s">
        <v>107</v>
      </c>
      <c r="O156" s="27" t="s">
        <v>45</v>
      </c>
      <c r="P156" s="27">
        <v>1472</v>
      </c>
      <c r="Q156" s="27" t="s">
        <v>85</v>
      </c>
    </row>
    <row r="157" spans="1:17" ht="15" thickBot="1" x14ac:dyDescent="0.35">
      <c r="A157" s="29" t="s">
        <v>335</v>
      </c>
      <c r="B157" s="30">
        <v>4.1159999999999997</v>
      </c>
      <c r="C157" s="30">
        <v>0.86099999999999999</v>
      </c>
      <c r="D157" s="30">
        <v>9.0999999999999998E-2</v>
      </c>
      <c r="E157" s="30">
        <v>0.65800000000000003</v>
      </c>
      <c r="F157" s="30">
        <v>0.105</v>
      </c>
      <c r="G157" s="30">
        <v>0.28000000000000003</v>
      </c>
      <c r="H157" s="30">
        <f>SUM(B157:G157)</f>
        <v>6.1110000000000007</v>
      </c>
      <c r="I157" s="30" t="s">
        <v>340</v>
      </c>
      <c r="J157" s="30" t="s">
        <v>21</v>
      </c>
      <c r="K157" s="30">
        <v>636</v>
      </c>
      <c r="L157" s="30">
        <v>135</v>
      </c>
      <c r="M157" s="30">
        <v>6</v>
      </c>
      <c r="N157" s="30" t="s">
        <v>107</v>
      </c>
      <c r="O157" s="30" t="s">
        <v>45</v>
      </c>
      <c r="P157" s="30">
        <v>1472</v>
      </c>
      <c r="Q157" s="30" t="s">
        <v>85</v>
      </c>
    </row>
    <row r="158" spans="1:17" x14ac:dyDescent="0.3">
      <c r="A158" s="26" t="s">
        <v>336</v>
      </c>
      <c r="B158" s="27">
        <v>3.3660000000000001</v>
      </c>
      <c r="C158" s="27">
        <v>0.78800000000000003</v>
      </c>
      <c r="D158" s="27">
        <v>9.2999999999999999E-2</v>
      </c>
      <c r="E158" s="27">
        <v>0.56699999999999995</v>
      </c>
      <c r="F158" s="27">
        <v>0.10299999999999999</v>
      </c>
      <c r="G158" s="27">
        <v>0.26800000000000002</v>
      </c>
      <c r="H158" s="27">
        <f>SUM(B158:G158)</f>
        <v>5.1849999999999996</v>
      </c>
      <c r="I158" s="27" t="s">
        <v>340</v>
      </c>
      <c r="J158" s="27" t="s">
        <v>21</v>
      </c>
      <c r="K158" s="27">
        <v>637</v>
      </c>
      <c r="L158" s="27">
        <v>135</v>
      </c>
      <c r="M158" s="27">
        <v>6</v>
      </c>
      <c r="N158" s="27" t="s">
        <v>107</v>
      </c>
      <c r="O158" s="27" t="s">
        <v>45</v>
      </c>
      <c r="P158" s="27">
        <v>1472</v>
      </c>
      <c r="Q158" s="27" t="s">
        <v>85</v>
      </c>
    </row>
    <row r="159" spans="1:17" ht="15" thickBot="1" x14ac:dyDescent="0.35">
      <c r="A159" s="29" t="s">
        <v>337</v>
      </c>
      <c r="B159" s="30">
        <v>3.5139999999999998</v>
      </c>
      <c r="C159" s="30">
        <v>0.81799999999999995</v>
      </c>
      <c r="D159" s="30">
        <v>9.5000000000000001E-2</v>
      </c>
      <c r="E159" s="30">
        <v>0.57799999999999996</v>
      </c>
      <c r="F159" s="30">
        <v>9.7000000000000003E-2</v>
      </c>
      <c r="G159" s="30">
        <v>0.27100000000000002</v>
      </c>
      <c r="H159" s="30">
        <f>SUM(B159:G159)</f>
        <v>5.3730000000000002</v>
      </c>
      <c r="I159" s="30" t="s">
        <v>340</v>
      </c>
      <c r="J159" s="30" t="s">
        <v>21</v>
      </c>
      <c r="K159" s="30">
        <v>637</v>
      </c>
      <c r="L159" s="30">
        <v>135</v>
      </c>
      <c r="M159" s="30">
        <v>6</v>
      </c>
      <c r="N159" s="30" t="s">
        <v>107</v>
      </c>
      <c r="O159" s="30" t="s">
        <v>45</v>
      </c>
      <c r="P159" s="30">
        <v>1472</v>
      </c>
      <c r="Q159" s="30" t="s">
        <v>85</v>
      </c>
    </row>
    <row r="160" spans="1:17" x14ac:dyDescent="0.3">
      <c r="A160" s="26" t="s">
        <v>338</v>
      </c>
      <c r="B160" s="27">
        <v>2.556</v>
      </c>
      <c r="C160" s="27">
        <v>0.66</v>
      </c>
      <c r="D160" s="27">
        <v>7.6999999999999999E-2</v>
      </c>
      <c r="E160" s="27">
        <v>0.58499999999999996</v>
      </c>
      <c r="F160" s="27">
        <v>9.4E-2</v>
      </c>
      <c r="G160" s="27">
        <v>0.254</v>
      </c>
      <c r="H160" s="27">
        <f>SUM(B160:G160)</f>
        <v>4.226</v>
      </c>
      <c r="I160" s="27" t="s">
        <v>340</v>
      </c>
      <c r="J160" s="27" t="s">
        <v>21</v>
      </c>
      <c r="K160" s="27">
        <v>638</v>
      </c>
      <c r="L160" s="27">
        <v>135</v>
      </c>
      <c r="M160" s="27">
        <v>6</v>
      </c>
      <c r="N160" s="27" t="s">
        <v>107</v>
      </c>
      <c r="O160" s="27" t="s">
        <v>45</v>
      </c>
      <c r="P160" s="27">
        <v>1472</v>
      </c>
      <c r="Q160" s="27" t="s">
        <v>85</v>
      </c>
    </row>
    <row r="161" spans="1:17" ht="15" thickBot="1" x14ac:dyDescent="0.35">
      <c r="A161" s="29" t="s">
        <v>339</v>
      </c>
      <c r="B161" s="30">
        <v>2.5640000000000001</v>
      </c>
      <c r="C161" s="30">
        <v>0.64200000000000002</v>
      </c>
      <c r="D161" s="30">
        <v>7.4999999999999997E-2</v>
      </c>
      <c r="E161" s="30">
        <v>0.56399999999999995</v>
      </c>
      <c r="F161" s="30">
        <v>8.2000000000000003E-2</v>
      </c>
      <c r="G161" s="30">
        <v>0.251</v>
      </c>
      <c r="H161" s="30">
        <f>SUM(B161:G161)</f>
        <v>4.1779999999999999</v>
      </c>
      <c r="I161" s="30" t="s">
        <v>340</v>
      </c>
      <c r="J161" s="30" t="s">
        <v>21</v>
      </c>
      <c r="K161" s="30">
        <v>638</v>
      </c>
      <c r="L161" s="30">
        <v>135</v>
      </c>
      <c r="M161" s="30">
        <v>6</v>
      </c>
      <c r="N161" s="30" t="s">
        <v>107</v>
      </c>
      <c r="O161" s="30" t="s">
        <v>45</v>
      </c>
      <c r="P161" s="30">
        <v>1472</v>
      </c>
      <c r="Q161" s="30" t="s">
        <v>85</v>
      </c>
    </row>
  </sheetData>
  <sortState xmlns:xlrd2="http://schemas.microsoft.com/office/spreadsheetml/2017/richdata2" ref="A2:Q161">
    <sortCondition ref="N2:N161"/>
    <sortCondition ref="Q2:Q161" customList="Control Vehicle,HFHS Vehicle,HFHS FOS+GOS,HFHS B. longum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89857-952B-4B68-9212-F6EDE843F273}">
  <dimension ref="A1:V101"/>
  <sheetViews>
    <sheetView topLeftCell="A9" workbookViewId="0">
      <selection activeCell="A38" sqref="A38:R39"/>
    </sheetView>
  </sheetViews>
  <sheetFormatPr defaultRowHeight="14.4" x14ac:dyDescent="0.3"/>
  <sheetData>
    <row r="1" spans="1:22" ht="15" thickBot="1" x14ac:dyDescent="0.35">
      <c r="A1" s="1" t="s">
        <v>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3" t="s">
        <v>16</v>
      </c>
      <c r="S1" s="4" t="s">
        <v>17</v>
      </c>
      <c r="T1" s="4" t="s">
        <v>18</v>
      </c>
      <c r="V1" s="4"/>
    </row>
    <row r="2" spans="1:22" x14ac:dyDescent="0.3">
      <c r="A2" s="5" t="s">
        <v>19</v>
      </c>
      <c r="B2" s="6" t="s">
        <v>20</v>
      </c>
      <c r="C2" s="6">
        <v>101</v>
      </c>
      <c r="D2" s="6" t="s">
        <v>21</v>
      </c>
      <c r="E2" s="6" t="s">
        <v>22</v>
      </c>
      <c r="F2" s="6" t="s">
        <v>23</v>
      </c>
      <c r="G2" s="6">
        <v>105</v>
      </c>
      <c r="H2" s="6">
        <v>1</v>
      </c>
      <c r="I2" s="6" t="s">
        <v>24</v>
      </c>
      <c r="J2" s="6" t="s">
        <v>25</v>
      </c>
      <c r="K2" s="6" t="s">
        <v>26</v>
      </c>
      <c r="L2" s="6">
        <v>39.521999999999998</v>
      </c>
      <c r="M2" s="6">
        <v>17.61</v>
      </c>
      <c r="N2" s="6">
        <v>4.1059999999999999</v>
      </c>
      <c r="O2" s="6">
        <v>16.524999999999999</v>
      </c>
      <c r="P2" s="6">
        <v>3.0070000000000001</v>
      </c>
      <c r="Q2" s="6">
        <v>13.829000000000001</v>
      </c>
      <c r="R2" s="7">
        <v>94.599000000000018</v>
      </c>
      <c r="S2">
        <f>GEOMEAN(R2:R13)</f>
        <v>89.694729097156639</v>
      </c>
      <c r="T2">
        <f>R2-$S$2</f>
        <v>4.9042709028433791</v>
      </c>
      <c r="U2">
        <f>AVERAGE(R2:R13)</f>
        <v>91.757083333333355</v>
      </c>
      <c r="V2">
        <f t="shared" ref="V2:V13" si="0">R2-$U$2</f>
        <v>2.8419166666666626</v>
      </c>
    </row>
    <row r="3" spans="1:22" ht="15" thickBot="1" x14ac:dyDescent="0.35">
      <c r="A3" s="8" t="s">
        <v>27</v>
      </c>
      <c r="B3" s="9" t="s">
        <v>20</v>
      </c>
      <c r="C3" s="9">
        <v>101</v>
      </c>
      <c r="D3" s="9" t="s">
        <v>21</v>
      </c>
      <c r="E3" s="9" t="s">
        <v>22</v>
      </c>
      <c r="F3" s="9" t="s">
        <v>23</v>
      </c>
      <c r="G3" s="9">
        <v>105</v>
      </c>
      <c r="H3" s="9">
        <v>1</v>
      </c>
      <c r="I3" s="9" t="s">
        <v>24</v>
      </c>
      <c r="J3" s="9" t="s">
        <v>25</v>
      </c>
      <c r="K3" s="9" t="s">
        <v>26</v>
      </c>
      <c r="L3" s="9">
        <v>41.701999999999998</v>
      </c>
      <c r="M3" s="9">
        <v>18.655999999999999</v>
      </c>
      <c r="N3" s="9">
        <v>4.3150000000000004</v>
      </c>
      <c r="O3" s="9">
        <v>16.847000000000001</v>
      </c>
      <c r="P3" s="9">
        <v>3.11</v>
      </c>
      <c r="Q3" s="9">
        <v>15.218</v>
      </c>
      <c r="R3" s="10">
        <v>99.848000000000013</v>
      </c>
      <c r="T3">
        <f t="shared" ref="T3:T13" si="1">R3-$S$2</f>
        <v>10.153270902843374</v>
      </c>
      <c r="V3">
        <f t="shared" si="0"/>
        <v>8.0909166666666579</v>
      </c>
    </row>
    <row r="4" spans="1:22" x14ac:dyDescent="0.3">
      <c r="A4" s="5" t="s">
        <v>28</v>
      </c>
      <c r="B4" s="6" t="s">
        <v>29</v>
      </c>
      <c r="C4" s="6">
        <v>115</v>
      </c>
      <c r="D4" s="6" t="s">
        <v>21</v>
      </c>
      <c r="E4" s="6" t="s">
        <v>22</v>
      </c>
      <c r="F4" s="6" t="s">
        <v>23</v>
      </c>
      <c r="G4" s="6">
        <v>104</v>
      </c>
      <c r="H4" s="6">
        <v>1</v>
      </c>
      <c r="I4" s="6" t="s">
        <v>24</v>
      </c>
      <c r="J4" s="6" t="s">
        <v>25</v>
      </c>
      <c r="K4" s="6" t="s">
        <v>26</v>
      </c>
      <c r="L4" s="6">
        <v>41.758000000000003</v>
      </c>
      <c r="M4" s="6">
        <v>16.370999999999999</v>
      </c>
      <c r="N4" s="6">
        <v>3.7989999999999999</v>
      </c>
      <c r="O4" s="6">
        <v>15.125</v>
      </c>
      <c r="P4" s="6">
        <v>2.9060000000000001</v>
      </c>
      <c r="Q4" s="6">
        <v>12.775</v>
      </c>
      <c r="R4" s="7">
        <v>92.734000000000009</v>
      </c>
      <c r="T4">
        <f t="shared" si="1"/>
        <v>3.03927090284337</v>
      </c>
      <c r="V4">
        <f t="shared" si="0"/>
        <v>0.97691666666665355</v>
      </c>
    </row>
    <row r="5" spans="1:22" ht="15" thickBot="1" x14ac:dyDescent="0.35">
      <c r="A5" s="8" t="s">
        <v>30</v>
      </c>
      <c r="B5" s="9" t="s">
        <v>29</v>
      </c>
      <c r="C5" s="9">
        <v>115</v>
      </c>
      <c r="D5" s="9" t="s">
        <v>21</v>
      </c>
      <c r="E5" s="9" t="s">
        <v>22</v>
      </c>
      <c r="F5" s="9" t="s">
        <v>23</v>
      </c>
      <c r="G5" s="9">
        <v>104</v>
      </c>
      <c r="H5" s="9">
        <v>1</v>
      </c>
      <c r="I5" s="9" t="s">
        <v>24</v>
      </c>
      <c r="J5" s="9" t="s">
        <v>25</v>
      </c>
      <c r="K5" s="9" t="s">
        <v>26</v>
      </c>
      <c r="L5" s="9">
        <v>48.890999999999998</v>
      </c>
      <c r="M5" s="9">
        <v>16.329000000000001</v>
      </c>
      <c r="N5" s="9">
        <v>3.5880000000000001</v>
      </c>
      <c r="O5" s="9">
        <v>15.242000000000001</v>
      </c>
      <c r="P5" s="9">
        <v>2.8250000000000002</v>
      </c>
      <c r="Q5" s="9">
        <v>12.757</v>
      </c>
      <c r="R5" s="10">
        <v>99.632000000000005</v>
      </c>
      <c r="T5">
        <f t="shared" si="1"/>
        <v>9.9372709028433661</v>
      </c>
      <c r="V5">
        <f t="shared" si="0"/>
        <v>7.8749166666666497</v>
      </c>
    </row>
    <row r="6" spans="1:22" x14ac:dyDescent="0.3">
      <c r="A6" s="5" t="s">
        <v>31</v>
      </c>
      <c r="B6" s="6" t="s">
        <v>32</v>
      </c>
      <c r="C6" s="6">
        <v>201</v>
      </c>
      <c r="D6" s="6" t="s">
        <v>21</v>
      </c>
      <c r="E6" s="6" t="s">
        <v>22</v>
      </c>
      <c r="F6" s="6" t="s">
        <v>23</v>
      </c>
      <c r="G6" s="6">
        <v>117</v>
      </c>
      <c r="H6" s="6">
        <v>2</v>
      </c>
      <c r="I6" s="6" t="s">
        <v>24</v>
      </c>
      <c r="J6" s="6" t="s">
        <v>25</v>
      </c>
      <c r="K6" s="6" t="s">
        <v>26</v>
      </c>
      <c r="L6" s="6">
        <v>29.811</v>
      </c>
      <c r="M6" s="6">
        <v>10.228999999999999</v>
      </c>
      <c r="N6" s="6">
        <v>2.2999999999999998</v>
      </c>
      <c r="O6" s="6">
        <v>9.8149999999999995</v>
      </c>
      <c r="P6" s="6">
        <v>1.879</v>
      </c>
      <c r="Q6" s="6">
        <v>8.07</v>
      </c>
      <c r="R6" s="7">
        <v>62.103999999999992</v>
      </c>
      <c r="T6">
        <f t="shared" si="1"/>
        <v>-27.590729097156647</v>
      </c>
      <c r="V6">
        <f t="shared" si="0"/>
        <v>-29.653083333333363</v>
      </c>
    </row>
    <row r="7" spans="1:22" ht="15" thickBot="1" x14ac:dyDescent="0.35">
      <c r="A7" s="8" t="s">
        <v>33</v>
      </c>
      <c r="B7" s="9" t="s">
        <v>32</v>
      </c>
      <c r="C7" s="9">
        <v>201</v>
      </c>
      <c r="D7" s="9" t="s">
        <v>21</v>
      </c>
      <c r="E7" s="9" t="s">
        <v>22</v>
      </c>
      <c r="F7" s="9" t="s">
        <v>23</v>
      </c>
      <c r="G7" s="9">
        <v>117</v>
      </c>
      <c r="H7" s="9">
        <v>2</v>
      </c>
      <c r="I7" s="9" t="s">
        <v>24</v>
      </c>
      <c r="J7" s="9" t="s">
        <v>25</v>
      </c>
      <c r="K7" s="9" t="s">
        <v>26</v>
      </c>
      <c r="L7" s="9">
        <v>42.197000000000003</v>
      </c>
      <c r="M7" s="9">
        <v>12.335000000000001</v>
      </c>
      <c r="N7" s="9">
        <v>2.641</v>
      </c>
      <c r="O7" s="9">
        <v>11.090999999999999</v>
      </c>
      <c r="P7" s="9">
        <v>1.992</v>
      </c>
      <c r="Q7" s="9">
        <v>9.3149999999999995</v>
      </c>
      <c r="R7" s="10">
        <v>79.570999999999998</v>
      </c>
      <c r="T7">
        <f t="shared" si="1"/>
        <v>-10.123729097156641</v>
      </c>
      <c r="V7">
        <f t="shared" si="0"/>
        <v>-12.186083333333357</v>
      </c>
    </row>
    <row r="8" spans="1:22" x14ac:dyDescent="0.3">
      <c r="A8" s="5" t="s">
        <v>34</v>
      </c>
      <c r="B8" s="6" t="s">
        <v>35</v>
      </c>
      <c r="C8" s="6">
        <v>208</v>
      </c>
      <c r="D8" s="6" t="s">
        <v>21</v>
      </c>
      <c r="E8" s="6" t="s">
        <v>22</v>
      </c>
      <c r="F8" s="6" t="s">
        <v>23</v>
      </c>
      <c r="G8" s="6">
        <v>122</v>
      </c>
      <c r="H8" s="6">
        <v>2</v>
      </c>
      <c r="I8" s="6" t="s">
        <v>24</v>
      </c>
      <c r="J8" s="6" t="s">
        <v>25</v>
      </c>
      <c r="K8" s="6" t="s">
        <v>26</v>
      </c>
      <c r="L8" s="6">
        <v>38.517000000000003</v>
      </c>
      <c r="M8" s="6">
        <v>11.901999999999999</v>
      </c>
      <c r="N8" s="6">
        <v>2.77</v>
      </c>
      <c r="O8" s="6">
        <v>10.667</v>
      </c>
      <c r="P8" s="6">
        <v>2.0619999999999998</v>
      </c>
      <c r="Q8" s="6">
        <v>8.625</v>
      </c>
      <c r="R8" s="7">
        <v>74.543000000000006</v>
      </c>
      <c r="T8">
        <f t="shared" si="1"/>
        <v>-15.151729097156633</v>
      </c>
      <c r="V8">
        <f t="shared" si="0"/>
        <v>-17.214083333333349</v>
      </c>
    </row>
    <row r="9" spans="1:22" ht="15" thickBot="1" x14ac:dyDescent="0.35">
      <c r="A9" s="8" t="s">
        <v>36</v>
      </c>
      <c r="B9" s="9" t="s">
        <v>35</v>
      </c>
      <c r="C9" s="9">
        <v>208</v>
      </c>
      <c r="D9" s="9" t="s">
        <v>21</v>
      </c>
      <c r="E9" s="9" t="s">
        <v>22</v>
      </c>
      <c r="F9" s="9" t="s">
        <v>23</v>
      </c>
      <c r="G9" s="9">
        <v>122</v>
      </c>
      <c r="H9" s="9">
        <v>2</v>
      </c>
      <c r="I9" s="9" t="s">
        <v>24</v>
      </c>
      <c r="J9" s="9" t="s">
        <v>25</v>
      </c>
      <c r="K9" s="9" t="s">
        <v>26</v>
      </c>
      <c r="L9" s="9">
        <v>42.005000000000003</v>
      </c>
      <c r="M9" s="9">
        <v>11.487</v>
      </c>
      <c r="N9" s="9">
        <v>2.5019999999999998</v>
      </c>
      <c r="O9" s="9">
        <v>10.292</v>
      </c>
      <c r="P9" s="9">
        <v>1.988</v>
      </c>
      <c r="Q9" s="9">
        <v>8.0850000000000009</v>
      </c>
      <c r="R9" s="10">
        <v>76.359000000000009</v>
      </c>
      <c r="T9">
        <f t="shared" si="1"/>
        <v>-13.33572909715663</v>
      </c>
      <c r="V9">
        <f t="shared" si="0"/>
        <v>-15.398083333333346</v>
      </c>
    </row>
    <row r="10" spans="1:22" x14ac:dyDescent="0.3">
      <c r="A10" s="5" t="s">
        <v>37</v>
      </c>
      <c r="B10" s="6" t="s">
        <v>38</v>
      </c>
      <c r="C10" s="6">
        <v>401</v>
      </c>
      <c r="D10" s="6" t="s">
        <v>21</v>
      </c>
      <c r="E10" s="6" t="s">
        <v>22</v>
      </c>
      <c r="F10" s="6" t="s">
        <v>23</v>
      </c>
      <c r="G10" s="6">
        <v>129</v>
      </c>
      <c r="H10" s="6">
        <v>4</v>
      </c>
      <c r="I10" s="6" t="s">
        <v>24</v>
      </c>
      <c r="J10" s="6" t="s">
        <v>25</v>
      </c>
      <c r="K10" s="6" t="s">
        <v>26</v>
      </c>
      <c r="L10" s="6">
        <v>34.061999999999998</v>
      </c>
      <c r="M10" s="6">
        <v>14.116</v>
      </c>
      <c r="N10" s="6">
        <v>3.4620000000000002</v>
      </c>
      <c r="O10" s="6">
        <v>13.901</v>
      </c>
      <c r="P10" s="6">
        <v>2.9119999999999999</v>
      </c>
      <c r="Q10" s="6">
        <v>10.367000000000001</v>
      </c>
      <c r="R10" s="7">
        <v>78.820000000000007</v>
      </c>
      <c r="T10">
        <f t="shared" si="1"/>
        <v>-10.874729097156631</v>
      </c>
      <c r="V10">
        <f t="shared" si="0"/>
        <v>-12.937083333333348</v>
      </c>
    </row>
    <row r="11" spans="1:22" ht="15" thickBot="1" x14ac:dyDescent="0.35">
      <c r="A11" s="8" t="s">
        <v>39</v>
      </c>
      <c r="B11" s="9" t="s">
        <v>38</v>
      </c>
      <c r="C11" s="9">
        <v>401</v>
      </c>
      <c r="D11" s="9" t="s">
        <v>21</v>
      </c>
      <c r="E11" s="9" t="s">
        <v>22</v>
      </c>
      <c r="F11" s="9" t="s">
        <v>23</v>
      </c>
      <c r="G11" s="9">
        <v>129</v>
      </c>
      <c r="H11" s="9">
        <v>4</v>
      </c>
      <c r="I11" s="9" t="s">
        <v>24</v>
      </c>
      <c r="J11" s="9" t="s">
        <v>25</v>
      </c>
      <c r="K11" s="9" t="s">
        <v>26</v>
      </c>
      <c r="L11" s="9">
        <v>42.997</v>
      </c>
      <c r="M11" s="9">
        <v>13.558</v>
      </c>
      <c r="N11" s="9">
        <v>2.7879999999999998</v>
      </c>
      <c r="O11" s="9">
        <v>11.788</v>
      </c>
      <c r="P11" s="9">
        <v>2.3119999999999998</v>
      </c>
      <c r="Q11" s="9">
        <v>9.6750000000000007</v>
      </c>
      <c r="R11" s="10">
        <v>83.117999999999995</v>
      </c>
      <c r="T11">
        <f t="shared" si="1"/>
        <v>-6.5767290971566439</v>
      </c>
      <c r="V11">
        <f t="shared" si="0"/>
        <v>-8.6390833333333603</v>
      </c>
    </row>
    <row r="12" spans="1:22" x14ac:dyDescent="0.3">
      <c r="A12" s="5" t="s">
        <v>40</v>
      </c>
      <c r="B12" s="6" t="s">
        <v>41</v>
      </c>
      <c r="C12" s="6">
        <v>408</v>
      </c>
      <c r="D12" s="6" t="s">
        <v>21</v>
      </c>
      <c r="E12" s="6" t="s">
        <v>22</v>
      </c>
      <c r="F12" s="6" t="s">
        <v>23</v>
      </c>
      <c r="G12" s="6">
        <v>113</v>
      </c>
      <c r="H12" s="6">
        <v>4</v>
      </c>
      <c r="I12" s="6" t="s">
        <v>24</v>
      </c>
      <c r="J12" s="6" t="s">
        <v>25</v>
      </c>
      <c r="K12" s="6" t="s">
        <v>26</v>
      </c>
      <c r="L12" s="6">
        <v>62.761000000000003</v>
      </c>
      <c r="M12" s="6">
        <v>21.664999999999999</v>
      </c>
      <c r="N12" s="6">
        <v>4.5359999999999996</v>
      </c>
      <c r="O12" s="6">
        <v>19.606999999999999</v>
      </c>
      <c r="P12" s="6">
        <v>3.746</v>
      </c>
      <c r="Q12" s="6">
        <v>14.72</v>
      </c>
      <c r="R12" s="7">
        <v>127.035</v>
      </c>
      <c r="T12">
        <f t="shared" si="1"/>
        <v>37.340270902843358</v>
      </c>
      <c r="V12">
        <f t="shared" si="0"/>
        <v>35.277916666666641</v>
      </c>
    </row>
    <row r="13" spans="1:22" ht="15" thickBot="1" x14ac:dyDescent="0.35">
      <c r="A13" s="8" t="s">
        <v>42</v>
      </c>
      <c r="B13" s="9" t="s">
        <v>41</v>
      </c>
      <c r="C13" s="9">
        <v>408</v>
      </c>
      <c r="D13" s="9" t="s">
        <v>21</v>
      </c>
      <c r="E13" s="9" t="s">
        <v>22</v>
      </c>
      <c r="F13" s="9" t="s">
        <v>23</v>
      </c>
      <c r="G13" s="9">
        <v>113</v>
      </c>
      <c r="H13" s="9">
        <v>4</v>
      </c>
      <c r="I13" s="9" t="s">
        <v>24</v>
      </c>
      <c r="J13" s="9" t="s">
        <v>25</v>
      </c>
      <c r="K13" s="9" t="s">
        <v>26</v>
      </c>
      <c r="L13" s="9">
        <v>62.207000000000001</v>
      </c>
      <c r="M13" s="9">
        <v>23.658000000000001</v>
      </c>
      <c r="N13" s="9">
        <v>4.9349999999999996</v>
      </c>
      <c r="O13" s="9">
        <v>21.376999999999999</v>
      </c>
      <c r="P13" s="9">
        <v>3.92</v>
      </c>
      <c r="Q13" s="9">
        <v>16.625</v>
      </c>
      <c r="R13" s="10">
        <v>132.72200000000001</v>
      </c>
      <c r="T13">
        <f t="shared" si="1"/>
        <v>43.02727090284337</v>
      </c>
      <c r="V13">
        <f t="shared" si="0"/>
        <v>40.964916666666653</v>
      </c>
    </row>
    <row r="14" spans="1:22" x14ac:dyDescent="0.3">
      <c r="A14" s="11" t="s">
        <v>43</v>
      </c>
      <c r="B14" s="12" t="s">
        <v>44</v>
      </c>
      <c r="C14" s="12">
        <v>211</v>
      </c>
      <c r="D14" s="12" t="s">
        <v>21</v>
      </c>
      <c r="E14" s="12" t="s">
        <v>22</v>
      </c>
      <c r="F14" s="12" t="s">
        <v>23</v>
      </c>
      <c r="G14" s="12">
        <v>123</v>
      </c>
      <c r="H14" s="12">
        <v>2</v>
      </c>
      <c r="I14" s="12" t="s">
        <v>45</v>
      </c>
      <c r="J14" s="12" t="s">
        <v>25</v>
      </c>
      <c r="K14" s="12" t="s">
        <v>46</v>
      </c>
      <c r="L14" s="12">
        <v>61.933</v>
      </c>
      <c r="M14" s="12">
        <v>18.978999999999999</v>
      </c>
      <c r="N14" s="12">
        <v>4.0030000000000001</v>
      </c>
      <c r="O14" s="12">
        <v>18.053999999999998</v>
      </c>
      <c r="P14" s="12">
        <v>3.1419999999999999</v>
      </c>
      <c r="Q14" s="12">
        <v>13.529</v>
      </c>
      <c r="R14" s="13">
        <v>119.64</v>
      </c>
      <c r="S14">
        <f>GEOMEAN(R14:R25)</f>
        <v>117.69761601902388</v>
      </c>
      <c r="T14">
        <f>R14-$S$14</f>
        <v>1.9423839809761176</v>
      </c>
      <c r="U14">
        <f>AVERAGE(R14:R25)</f>
        <v>119.584</v>
      </c>
      <c r="V14">
        <f>R14-$U$14</f>
        <v>5.5999999999997385E-2</v>
      </c>
    </row>
    <row r="15" spans="1:22" ht="15" thickBot="1" x14ac:dyDescent="0.35">
      <c r="A15" s="14" t="s">
        <v>47</v>
      </c>
      <c r="B15" s="15" t="s">
        <v>44</v>
      </c>
      <c r="C15" s="15">
        <v>211</v>
      </c>
      <c r="D15" s="15" t="s">
        <v>21</v>
      </c>
      <c r="E15" s="15" t="s">
        <v>22</v>
      </c>
      <c r="F15" s="15" t="s">
        <v>23</v>
      </c>
      <c r="G15" s="15">
        <v>123</v>
      </c>
      <c r="H15" s="15">
        <v>2</v>
      </c>
      <c r="I15" s="15" t="s">
        <v>45</v>
      </c>
      <c r="J15" s="15" t="s">
        <v>25</v>
      </c>
      <c r="K15" s="15" t="s">
        <v>46</v>
      </c>
      <c r="L15" s="15">
        <v>64.710999999999999</v>
      </c>
      <c r="M15" s="15">
        <v>18.335000000000001</v>
      </c>
      <c r="N15" s="15">
        <v>3.786</v>
      </c>
      <c r="O15" s="15">
        <v>17.463000000000001</v>
      </c>
      <c r="P15" s="15">
        <v>2.8809999999999998</v>
      </c>
      <c r="Q15" s="15">
        <v>13.537000000000001</v>
      </c>
      <c r="R15" s="16">
        <v>120.71299999999999</v>
      </c>
      <c r="T15">
        <f t="shared" ref="T15:T25" si="2">R15-$S$14</f>
        <v>3.0153839809761109</v>
      </c>
      <c r="V15">
        <f>R15-$U$14</f>
        <v>1.1289999999999907</v>
      </c>
    </row>
    <row r="16" spans="1:22" x14ac:dyDescent="0.3">
      <c r="A16" s="11" t="s">
        <v>48</v>
      </c>
      <c r="B16" s="12" t="s">
        <v>49</v>
      </c>
      <c r="C16" s="12">
        <v>212</v>
      </c>
      <c r="D16" s="12" t="s">
        <v>21</v>
      </c>
      <c r="E16" s="12" t="s">
        <v>22</v>
      </c>
      <c r="F16" s="12" t="s">
        <v>23</v>
      </c>
      <c r="G16" s="12">
        <v>123</v>
      </c>
      <c r="H16" s="12">
        <v>2</v>
      </c>
      <c r="I16" s="12" t="s">
        <v>45</v>
      </c>
      <c r="J16" s="12" t="s">
        <v>25</v>
      </c>
      <c r="K16" s="12" t="s">
        <v>46</v>
      </c>
      <c r="L16" s="12">
        <v>49.301000000000002</v>
      </c>
      <c r="M16" s="12">
        <v>16.489999999999998</v>
      </c>
      <c r="N16" s="12">
        <v>3.8759999999999999</v>
      </c>
      <c r="O16" s="12">
        <v>14.968</v>
      </c>
      <c r="P16" s="12">
        <v>2.8359999999999999</v>
      </c>
      <c r="Q16" s="12">
        <v>11.683</v>
      </c>
      <c r="R16" s="13">
        <v>99.153999999999996</v>
      </c>
      <c r="T16">
        <f t="shared" si="2"/>
        <v>-18.543616019023887</v>
      </c>
      <c r="V16">
        <f>R16-$U$14</f>
        <v>-20.430000000000007</v>
      </c>
    </row>
    <row r="17" spans="1:22" ht="15" thickBot="1" x14ac:dyDescent="0.35">
      <c r="A17" s="14" t="s">
        <v>50</v>
      </c>
      <c r="B17" s="15" t="s">
        <v>49</v>
      </c>
      <c r="C17" s="15">
        <v>212</v>
      </c>
      <c r="D17" s="15" t="s">
        <v>21</v>
      </c>
      <c r="E17" s="15" t="s">
        <v>22</v>
      </c>
      <c r="F17" s="15" t="s">
        <v>23</v>
      </c>
      <c r="G17" s="15">
        <v>123</v>
      </c>
      <c r="H17" s="15">
        <v>2</v>
      </c>
      <c r="I17" s="15" t="s">
        <v>45</v>
      </c>
      <c r="J17" s="15" t="s">
        <v>25</v>
      </c>
      <c r="K17" s="15" t="s">
        <v>46</v>
      </c>
      <c r="L17" s="15">
        <v>55.31</v>
      </c>
      <c r="M17" s="15">
        <v>16.498999999999999</v>
      </c>
      <c r="N17" s="15">
        <v>3.4870000000000001</v>
      </c>
      <c r="O17" s="15">
        <v>14.637</v>
      </c>
      <c r="P17" s="15">
        <v>2.7549999999999999</v>
      </c>
      <c r="Q17" s="15">
        <v>11.664999999999999</v>
      </c>
      <c r="R17" s="16">
        <v>104.35299999999998</v>
      </c>
      <c r="T17">
        <f t="shared" si="2"/>
        <v>-13.344616019023903</v>
      </c>
      <c r="V17">
        <f>R17-$U$14</f>
        <v>-15.231000000000023</v>
      </c>
    </row>
    <row r="18" spans="1:22" x14ac:dyDescent="0.3">
      <c r="A18" s="11" t="s">
        <v>51</v>
      </c>
      <c r="B18" s="12" t="s">
        <v>52</v>
      </c>
      <c r="C18" s="12">
        <v>302</v>
      </c>
      <c r="D18" s="12" t="s">
        <v>21</v>
      </c>
      <c r="E18" s="12" t="s">
        <v>22</v>
      </c>
      <c r="F18" s="12" t="s">
        <v>23</v>
      </c>
      <c r="G18" s="12">
        <v>125</v>
      </c>
      <c r="H18" s="12">
        <v>3</v>
      </c>
      <c r="I18" s="12" t="s">
        <v>45</v>
      </c>
      <c r="J18" s="12" t="s">
        <v>25</v>
      </c>
      <c r="K18" s="12" t="s">
        <v>46</v>
      </c>
      <c r="L18" s="12">
        <v>39.758000000000003</v>
      </c>
      <c r="M18" s="12">
        <v>14.627000000000001</v>
      </c>
      <c r="N18" s="12">
        <v>3.33</v>
      </c>
      <c r="O18" s="12">
        <v>16.420000000000002</v>
      </c>
      <c r="P18" s="12">
        <v>2.839</v>
      </c>
      <c r="Q18" s="12">
        <v>10.933</v>
      </c>
      <c r="R18" s="13">
        <v>87.907000000000011</v>
      </c>
      <c r="T18">
        <f t="shared" si="2"/>
        <v>-29.790616019023872</v>
      </c>
      <c r="V18">
        <f>R18-$U$14</f>
        <v>-31.676999999999992</v>
      </c>
    </row>
    <row r="19" spans="1:22" ht="15" thickBot="1" x14ac:dyDescent="0.35">
      <c r="A19" s="14" t="s">
        <v>53</v>
      </c>
      <c r="B19" s="15" t="s">
        <v>52</v>
      </c>
      <c r="C19" s="15">
        <v>302</v>
      </c>
      <c r="D19" s="15" t="s">
        <v>21</v>
      </c>
      <c r="E19" s="15" t="s">
        <v>22</v>
      </c>
      <c r="F19" s="15" t="s">
        <v>23</v>
      </c>
      <c r="G19" s="15">
        <v>125</v>
      </c>
      <c r="H19" s="15">
        <v>3</v>
      </c>
      <c r="I19" s="15" t="s">
        <v>45</v>
      </c>
      <c r="J19" s="15" t="s">
        <v>25</v>
      </c>
      <c r="K19" s="15" t="s">
        <v>46</v>
      </c>
      <c r="L19" s="15">
        <v>52.99</v>
      </c>
      <c r="M19" s="15">
        <v>18.280999999999999</v>
      </c>
      <c r="N19" s="15">
        <v>3.8479999999999999</v>
      </c>
      <c r="O19" s="15">
        <v>20.521999999999998</v>
      </c>
      <c r="P19" s="15">
        <v>3.242</v>
      </c>
      <c r="Q19" s="15">
        <v>13.353999999999999</v>
      </c>
      <c r="R19" s="16">
        <v>112.23699999999999</v>
      </c>
      <c r="T19">
        <f t="shared" si="2"/>
        <v>-5.4606160190238882</v>
      </c>
      <c r="V19">
        <f t="shared" ref="V19:V24" si="3">R19-$U$14</f>
        <v>-7.3470000000000084</v>
      </c>
    </row>
    <row r="20" spans="1:22" x14ac:dyDescent="0.3">
      <c r="A20" s="11" t="s">
        <v>54</v>
      </c>
      <c r="B20" s="12" t="s">
        <v>55</v>
      </c>
      <c r="C20" s="12">
        <v>305</v>
      </c>
      <c r="D20" s="12" t="s">
        <v>21</v>
      </c>
      <c r="E20" s="12" t="s">
        <v>22</v>
      </c>
      <c r="F20" s="12" t="s">
        <v>23</v>
      </c>
      <c r="G20" s="12">
        <v>125</v>
      </c>
      <c r="H20" s="12">
        <v>3</v>
      </c>
      <c r="I20" s="12" t="s">
        <v>45</v>
      </c>
      <c r="J20" s="12" t="s">
        <v>25</v>
      </c>
      <c r="K20" s="12" t="s">
        <v>46</v>
      </c>
      <c r="L20" s="12">
        <v>46.527999999999999</v>
      </c>
      <c r="M20" s="12">
        <v>17.974</v>
      </c>
      <c r="N20" s="12">
        <v>3.782</v>
      </c>
      <c r="O20" s="12">
        <v>16.654</v>
      </c>
      <c r="P20" s="12">
        <v>2.9529999999999998</v>
      </c>
      <c r="Q20" s="12">
        <v>13.099</v>
      </c>
      <c r="R20" s="13">
        <v>100.99</v>
      </c>
      <c r="T20">
        <f t="shared" si="2"/>
        <v>-16.707616019023888</v>
      </c>
      <c r="V20">
        <f t="shared" si="3"/>
        <v>-18.594000000000008</v>
      </c>
    </row>
    <row r="21" spans="1:22" ht="15" thickBot="1" x14ac:dyDescent="0.35">
      <c r="A21" s="14" t="s">
        <v>56</v>
      </c>
      <c r="B21" s="15" t="s">
        <v>55</v>
      </c>
      <c r="C21" s="15">
        <v>305</v>
      </c>
      <c r="D21" s="15" t="s">
        <v>21</v>
      </c>
      <c r="E21" s="15" t="s">
        <v>22</v>
      </c>
      <c r="F21" s="15" t="s">
        <v>23</v>
      </c>
      <c r="G21" s="15">
        <v>125</v>
      </c>
      <c r="H21" s="15">
        <v>3</v>
      </c>
      <c r="I21" s="15" t="s">
        <v>45</v>
      </c>
      <c r="J21" s="15" t="s">
        <v>25</v>
      </c>
      <c r="K21" s="15" t="s">
        <v>46</v>
      </c>
      <c r="L21" s="15">
        <v>66.573999999999998</v>
      </c>
      <c r="M21" s="15">
        <v>24.353999999999999</v>
      </c>
      <c r="N21" s="15">
        <v>5.0229999999999997</v>
      </c>
      <c r="O21" s="15">
        <v>22.146000000000001</v>
      </c>
      <c r="P21" s="15">
        <v>3.9529999999999998</v>
      </c>
      <c r="Q21" s="15">
        <v>17.800999999999998</v>
      </c>
      <c r="R21" s="16">
        <v>139.851</v>
      </c>
      <c r="T21">
        <f t="shared" si="2"/>
        <v>22.153383980976116</v>
      </c>
      <c r="V21">
        <f t="shared" si="3"/>
        <v>20.266999999999996</v>
      </c>
    </row>
    <row r="22" spans="1:22" x14ac:dyDescent="0.3">
      <c r="A22" s="11" t="s">
        <v>57</v>
      </c>
      <c r="B22" s="12" t="s">
        <v>58</v>
      </c>
      <c r="C22" s="12">
        <v>306</v>
      </c>
      <c r="D22" s="12" t="s">
        <v>21</v>
      </c>
      <c r="E22" s="12" t="s">
        <v>22</v>
      </c>
      <c r="F22" s="12" t="s">
        <v>23</v>
      </c>
      <c r="G22" s="12">
        <v>125</v>
      </c>
      <c r="H22" s="12">
        <v>3</v>
      </c>
      <c r="I22" s="12" t="s">
        <v>45</v>
      </c>
      <c r="J22" s="12" t="s">
        <v>25</v>
      </c>
      <c r="K22" s="12" t="s">
        <v>46</v>
      </c>
      <c r="L22" s="12">
        <v>44.279000000000003</v>
      </c>
      <c r="M22" s="12">
        <v>21.603000000000002</v>
      </c>
      <c r="N22" s="12">
        <v>4.7919999999999998</v>
      </c>
      <c r="O22" s="12">
        <v>19.407</v>
      </c>
      <c r="P22" s="12">
        <v>3.53</v>
      </c>
      <c r="Q22" s="12">
        <v>15.51</v>
      </c>
      <c r="R22" s="13">
        <v>109.12100000000001</v>
      </c>
      <c r="T22">
        <f t="shared" si="2"/>
        <v>-8.5766160190238736</v>
      </c>
      <c r="V22">
        <f t="shared" si="3"/>
        <v>-10.462999999999994</v>
      </c>
    </row>
    <row r="23" spans="1:22" ht="15" thickBot="1" x14ac:dyDescent="0.35">
      <c r="A23" s="14" t="s">
        <v>59</v>
      </c>
      <c r="B23" s="15" t="s">
        <v>58</v>
      </c>
      <c r="C23" s="15">
        <v>306</v>
      </c>
      <c r="D23" s="15" t="s">
        <v>21</v>
      </c>
      <c r="E23" s="15" t="s">
        <v>22</v>
      </c>
      <c r="F23" s="15" t="s">
        <v>23</v>
      </c>
      <c r="G23" s="15">
        <v>125</v>
      </c>
      <c r="H23" s="15">
        <v>3</v>
      </c>
      <c r="I23" s="15" t="s">
        <v>45</v>
      </c>
      <c r="J23" s="15" t="s">
        <v>25</v>
      </c>
      <c r="K23" s="15" t="s">
        <v>46</v>
      </c>
      <c r="L23" s="15">
        <v>63.378</v>
      </c>
      <c r="M23" s="15">
        <v>27.69</v>
      </c>
      <c r="N23" s="15">
        <v>5.97</v>
      </c>
      <c r="O23" s="15">
        <v>25.259</v>
      </c>
      <c r="P23" s="15">
        <v>4.6189999999999998</v>
      </c>
      <c r="Q23" s="15">
        <v>20.684999999999999</v>
      </c>
      <c r="R23" s="16">
        <v>147.601</v>
      </c>
      <c r="T23">
        <f t="shared" si="2"/>
        <v>29.903383980976116</v>
      </c>
      <c r="V23">
        <f t="shared" si="3"/>
        <v>28.016999999999996</v>
      </c>
    </row>
    <row r="24" spans="1:22" x14ac:dyDescent="0.3">
      <c r="A24" s="11" t="s">
        <v>60</v>
      </c>
      <c r="B24" s="12" t="s">
        <v>61</v>
      </c>
      <c r="C24" s="12">
        <v>420</v>
      </c>
      <c r="D24" s="12" t="s">
        <v>21</v>
      </c>
      <c r="E24" s="12" t="s">
        <v>22</v>
      </c>
      <c r="F24" s="12" t="s">
        <v>23</v>
      </c>
      <c r="G24" s="12">
        <v>126</v>
      </c>
      <c r="H24" s="12">
        <v>4</v>
      </c>
      <c r="I24" s="12" t="s">
        <v>45</v>
      </c>
      <c r="J24" s="12" t="s">
        <v>25</v>
      </c>
      <c r="K24" s="12" t="s">
        <v>46</v>
      </c>
      <c r="L24" s="12">
        <v>52.598999999999997</v>
      </c>
      <c r="M24" s="12">
        <v>23.919</v>
      </c>
      <c r="N24" s="12">
        <v>5.2039999999999997</v>
      </c>
      <c r="O24" s="12">
        <v>22.193000000000001</v>
      </c>
      <c r="P24" s="12">
        <v>3.9780000000000002</v>
      </c>
      <c r="Q24" s="12">
        <v>17.452999999999999</v>
      </c>
      <c r="R24" s="13">
        <v>125.34599999999999</v>
      </c>
      <c r="T24">
        <f t="shared" si="2"/>
        <v>7.6483839809761065</v>
      </c>
      <c r="V24">
        <f t="shared" si="3"/>
        <v>5.7619999999999862</v>
      </c>
    </row>
    <row r="25" spans="1:22" ht="15" thickBot="1" x14ac:dyDescent="0.35">
      <c r="A25" s="14" t="s">
        <v>62</v>
      </c>
      <c r="B25" s="15" t="s">
        <v>61</v>
      </c>
      <c r="C25" s="15">
        <v>420</v>
      </c>
      <c r="D25" s="15" t="s">
        <v>21</v>
      </c>
      <c r="E25" s="15" t="s">
        <v>22</v>
      </c>
      <c r="F25" s="15" t="s">
        <v>23</v>
      </c>
      <c r="G25" s="15">
        <v>126</v>
      </c>
      <c r="H25" s="15">
        <v>4</v>
      </c>
      <c r="I25" s="15" t="s">
        <v>45</v>
      </c>
      <c r="J25" s="15" t="s">
        <v>25</v>
      </c>
      <c r="K25" s="15" t="s">
        <v>46</v>
      </c>
      <c r="L25" s="15">
        <v>74.316999999999993</v>
      </c>
      <c r="M25" s="15">
        <v>30.858000000000001</v>
      </c>
      <c r="N25" s="15">
        <v>6.4790000000000001</v>
      </c>
      <c r="O25" s="15">
        <v>29.155999999999999</v>
      </c>
      <c r="P25" s="15">
        <v>5.093</v>
      </c>
      <c r="Q25" s="15">
        <v>22.192</v>
      </c>
      <c r="R25" s="16">
        <v>168.095</v>
      </c>
      <c r="T25">
        <f t="shared" si="2"/>
        <v>50.397383980976116</v>
      </c>
      <c r="V25">
        <f>R25-$U$14</f>
        <v>48.510999999999996</v>
      </c>
    </row>
    <row r="26" spans="1:22" x14ac:dyDescent="0.3">
      <c r="A26" s="17" t="s">
        <v>63</v>
      </c>
      <c r="B26" s="18" t="s">
        <v>64</v>
      </c>
      <c r="C26" s="18">
        <v>124</v>
      </c>
      <c r="D26" s="18" t="s">
        <v>21</v>
      </c>
      <c r="E26" s="18" t="s">
        <v>22</v>
      </c>
      <c r="F26" s="18" t="s">
        <v>23</v>
      </c>
      <c r="G26" s="18">
        <v>106</v>
      </c>
      <c r="H26" s="18">
        <v>1</v>
      </c>
      <c r="I26" s="18" t="s">
        <v>45</v>
      </c>
      <c r="J26" s="18" t="s">
        <v>65</v>
      </c>
      <c r="K26" s="18" t="s">
        <v>66</v>
      </c>
      <c r="L26" s="18">
        <v>75.707999999999998</v>
      </c>
      <c r="M26" s="18">
        <v>18.382000000000001</v>
      </c>
      <c r="N26" s="18">
        <v>2.9540000000000002</v>
      </c>
      <c r="O26" s="18">
        <v>14.638999999999999</v>
      </c>
      <c r="P26" s="18">
        <v>2.327</v>
      </c>
      <c r="Q26" s="18">
        <v>9.6989999999999998</v>
      </c>
      <c r="R26" s="19">
        <v>123.70899999999999</v>
      </c>
      <c r="S26">
        <f>GEOMEAN(R26:R30,R32:R37)</f>
        <v>160.21338329060561</v>
      </c>
      <c r="T26">
        <f>R26-$S$26</f>
        <v>-36.504383290605617</v>
      </c>
      <c r="U26">
        <f>AVERAGE(R26:R30,R32:R37)</f>
        <v>164.23145454545454</v>
      </c>
      <c r="V26">
        <f>R26-$U$26</f>
        <v>-40.522454545454551</v>
      </c>
    </row>
    <row r="27" spans="1:22" ht="15" thickBot="1" x14ac:dyDescent="0.35">
      <c r="A27" s="20" t="s">
        <v>67</v>
      </c>
      <c r="B27" s="21" t="s">
        <v>64</v>
      </c>
      <c r="C27" s="21">
        <v>124</v>
      </c>
      <c r="D27" s="21" t="s">
        <v>21</v>
      </c>
      <c r="E27" s="21" t="s">
        <v>22</v>
      </c>
      <c r="F27" s="21" t="s">
        <v>23</v>
      </c>
      <c r="G27" s="21">
        <v>106</v>
      </c>
      <c r="H27" s="21">
        <v>1</v>
      </c>
      <c r="I27" s="21" t="s">
        <v>45</v>
      </c>
      <c r="J27" s="21" t="s">
        <v>65</v>
      </c>
      <c r="K27" s="21" t="s">
        <v>66</v>
      </c>
      <c r="L27" s="21">
        <v>80.097999999999999</v>
      </c>
      <c r="M27" s="21">
        <v>16.960999999999999</v>
      </c>
      <c r="N27" s="21">
        <v>2.6440000000000001</v>
      </c>
      <c r="O27" s="21">
        <v>13.645</v>
      </c>
      <c r="P27" s="21">
        <v>2.1160000000000001</v>
      </c>
      <c r="Q27" s="21">
        <v>8.6199999999999992</v>
      </c>
      <c r="R27" s="22">
        <v>124.084</v>
      </c>
      <c r="T27">
        <f t="shared" ref="T27:T37" si="4">R27-$S$26</f>
        <v>-36.129383290605602</v>
      </c>
      <c r="V27">
        <f t="shared" ref="V27:V36" si="5">R27-$U$26</f>
        <v>-40.147454545454536</v>
      </c>
    </row>
    <row r="28" spans="1:22" x14ac:dyDescent="0.3">
      <c r="A28" s="17" t="s">
        <v>68</v>
      </c>
      <c r="B28" s="18" t="s">
        <v>69</v>
      </c>
      <c r="C28" s="18">
        <v>225</v>
      </c>
      <c r="D28" s="18" t="s">
        <v>21</v>
      </c>
      <c r="E28" s="18" t="s">
        <v>22</v>
      </c>
      <c r="F28" s="18" t="s">
        <v>23</v>
      </c>
      <c r="G28" s="18">
        <v>124</v>
      </c>
      <c r="H28" s="18">
        <v>2</v>
      </c>
      <c r="I28" s="18" t="s">
        <v>45</v>
      </c>
      <c r="J28" s="18" t="s">
        <v>65</v>
      </c>
      <c r="K28" s="18" t="s">
        <v>66</v>
      </c>
      <c r="L28" s="18">
        <v>127.892</v>
      </c>
      <c r="M28" s="18">
        <v>30.623999999999999</v>
      </c>
      <c r="N28" s="18">
        <v>4.2149999999999999</v>
      </c>
      <c r="O28" s="18">
        <v>26.478000000000002</v>
      </c>
      <c r="P28" s="18">
        <v>3.411</v>
      </c>
      <c r="Q28" s="18">
        <v>12.827999999999999</v>
      </c>
      <c r="R28" s="19">
        <v>205.44800000000001</v>
      </c>
      <c r="T28">
        <f t="shared" si="4"/>
        <v>45.234616709394402</v>
      </c>
      <c r="V28">
        <f t="shared" si="5"/>
        <v>41.216545454545468</v>
      </c>
    </row>
    <row r="29" spans="1:22" ht="15" thickBot="1" x14ac:dyDescent="0.35">
      <c r="A29" s="20" t="s">
        <v>70</v>
      </c>
      <c r="B29" s="21" t="s">
        <v>69</v>
      </c>
      <c r="C29" s="21">
        <v>225</v>
      </c>
      <c r="D29" s="21" t="s">
        <v>21</v>
      </c>
      <c r="E29" s="21" t="s">
        <v>22</v>
      </c>
      <c r="F29" s="21" t="s">
        <v>23</v>
      </c>
      <c r="G29" s="21">
        <v>124</v>
      </c>
      <c r="H29" s="21">
        <v>2</v>
      </c>
      <c r="I29" s="21" t="s">
        <v>45</v>
      </c>
      <c r="J29" s="21" t="s">
        <v>65</v>
      </c>
      <c r="K29" s="21" t="s">
        <v>66</v>
      </c>
      <c r="L29" s="21">
        <v>139.38900000000001</v>
      </c>
      <c r="M29" s="21">
        <v>30.027999999999999</v>
      </c>
      <c r="N29" s="21">
        <v>3.8919999999999999</v>
      </c>
      <c r="O29" s="21">
        <v>26.416</v>
      </c>
      <c r="P29" s="21">
        <v>3.157</v>
      </c>
      <c r="Q29" s="21">
        <v>12.676</v>
      </c>
      <c r="R29" s="22">
        <v>215.55799999999999</v>
      </c>
      <c r="T29">
        <f t="shared" si="4"/>
        <v>55.344616709394387</v>
      </c>
      <c r="V29">
        <f t="shared" si="5"/>
        <v>51.326545454545453</v>
      </c>
    </row>
    <row r="30" spans="1:22" x14ac:dyDescent="0.3">
      <c r="A30" s="17" t="s">
        <v>71</v>
      </c>
      <c r="B30" s="18" t="s">
        <v>72</v>
      </c>
      <c r="C30" s="18">
        <v>231</v>
      </c>
      <c r="D30" s="18" t="s">
        <v>21</v>
      </c>
      <c r="E30" s="18" t="s">
        <v>22</v>
      </c>
      <c r="F30" s="18" t="s">
        <v>23</v>
      </c>
      <c r="G30" s="18">
        <v>119</v>
      </c>
      <c r="H30" s="18">
        <v>2</v>
      </c>
      <c r="I30" s="18" t="s">
        <v>45</v>
      </c>
      <c r="J30" s="18" t="s">
        <v>65</v>
      </c>
      <c r="K30" s="18" t="s">
        <v>66</v>
      </c>
      <c r="L30" s="18">
        <v>132.13200000000001</v>
      </c>
      <c r="M30" s="18">
        <v>30.312000000000001</v>
      </c>
      <c r="N30" s="18">
        <v>5.157</v>
      </c>
      <c r="O30" s="18">
        <v>26.308</v>
      </c>
      <c r="P30" s="18">
        <v>4.1310000000000002</v>
      </c>
      <c r="Q30" s="18">
        <v>17.222999999999999</v>
      </c>
      <c r="R30" s="19">
        <v>215.26300000000003</v>
      </c>
      <c r="T30">
        <f t="shared" si="4"/>
        <v>55.049616709394428</v>
      </c>
      <c r="V30">
        <f t="shared" si="5"/>
        <v>51.031545454545494</v>
      </c>
    </row>
    <row r="31" spans="1:22" ht="15" thickBot="1" x14ac:dyDescent="0.35">
      <c r="A31" s="23" t="s">
        <v>73</v>
      </c>
      <c r="B31" s="24" t="s">
        <v>72</v>
      </c>
      <c r="C31" s="24">
        <v>231</v>
      </c>
      <c r="D31" s="24" t="s">
        <v>21</v>
      </c>
      <c r="E31" s="24" t="s">
        <v>22</v>
      </c>
      <c r="F31" s="24" t="s">
        <v>23</v>
      </c>
      <c r="G31" s="24">
        <v>119</v>
      </c>
      <c r="H31" s="24">
        <v>2</v>
      </c>
      <c r="I31" s="24" t="s">
        <v>45</v>
      </c>
      <c r="J31" s="24" t="s">
        <v>65</v>
      </c>
      <c r="K31" s="24" t="s">
        <v>66</v>
      </c>
      <c r="L31" s="24"/>
      <c r="M31" s="24"/>
      <c r="N31" s="24"/>
      <c r="O31" s="24"/>
      <c r="P31" s="24"/>
      <c r="Q31" s="24"/>
      <c r="R31" s="25">
        <v>0</v>
      </c>
      <c r="T31">
        <f t="shared" si="4"/>
        <v>-160.21338329060561</v>
      </c>
      <c r="V31">
        <f t="shared" si="5"/>
        <v>-164.23145454545454</v>
      </c>
    </row>
    <row r="32" spans="1:22" x14ac:dyDescent="0.3">
      <c r="A32" s="17" t="s">
        <v>74</v>
      </c>
      <c r="B32" s="18" t="s">
        <v>75</v>
      </c>
      <c r="C32" s="18">
        <v>232</v>
      </c>
      <c r="D32" s="18" t="s">
        <v>21</v>
      </c>
      <c r="E32" s="18" t="s">
        <v>22</v>
      </c>
      <c r="F32" s="18" t="s">
        <v>23</v>
      </c>
      <c r="G32" s="18">
        <v>119</v>
      </c>
      <c r="H32" s="18">
        <v>2</v>
      </c>
      <c r="I32" s="18" t="s">
        <v>45</v>
      </c>
      <c r="J32" s="18" t="s">
        <v>65</v>
      </c>
      <c r="K32" s="18" t="s">
        <v>66</v>
      </c>
      <c r="L32" s="18">
        <v>75.085999999999999</v>
      </c>
      <c r="M32" s="18">
        <v>20.754000000000001</v>
      </c>
      <c r="N32" s="18">
        <v>3.9430000000000001</v>
      </c>
      <c r="O32" s="18">
        <v>19.36</v>
      </c>
      <c r="P32" s="18">
        <v>3.0139999999999998</v>
      </c>
      <c r="Q32" s="18">
        <v>13.391</v>
      </c>
      <c r="R32" s="19">
        <v>135.548</v>
      </c>
      <c r="T32">
        <f t="shared" si="4"/>
        <v>-24.665383290605604</v>
      </c>
      <c r="V32">
        <f t="shared" si="5"/>
        <v>-28.683454545454538</v>
      </c>
    </row>
    <row r="33" spans="1:22" ht="15" thickBot="1" x14ac:dyDescent="0.35">
      <c r="A33" s="20" t="s">
        <v>76</v>
      </c>
      <c r="B33" s="21" t="s">
        <v>75</v>
      </c>
      <c r="C33" s="21">
        <v>232</v>
      </c>
      <c r="D33" s="21" t="s">
        <v>21</v>
      </c>
      <c r="E33" s="21" t="s">
        <v>22</v>
      </c>
      <c r="F33" s="21" t="s">
        <v>23</v>
      </c>
      <c r="G33" s="21">
        <v>119</v>
      </c>
      <c r="H33" s="21">
        <v>2</v>
      </c>
      <c r="I33" s="21" t="s">
        <v>45</v>
      </c>
      <c r="J33" s="21" t="s">
        <v>65</v>
      </c>
      <c r="K33" s="21" t="s">
        <v>66</v>
      </c>
      <c r="L33" s="21">
        <v>115.235</v>
      </c>
      <c r="M33" s="21">
        <v>28.47</v>
      </c>
      <c r="N33" s="21">
        <v>5.1849999999999996</v>
      </c>
      <c r="O33" s="21">
        <v>27.085999999999999</v>
      </c>
      <c r="P33" s="21">
        <v>3.6480000000000001</v>
      </c>
      <c r="Q33" s="21">
        <v>18.170000000000002</v>
      </c>
      <c r="R33" s="22">
        <v>197.79399999999998</v>
      </c>
      <c r="T33">
        <f t="shared" si="4"/>
        <v>37.580616709394377</v>
      </c>
      <c r="V33">
        <f t="shared" si="5"/>
        <v>33.562545454545443</v>
      </c>
    </row>
    <row r="34" spans="1:22" x14ac:dyDescent="0.3">
      <c r="A34" s="17" t="s">
        <v>77</v>
      </c>
      <c r="B34" s="18" t="s">
        <v>78</v>
      </c>
      <c r="C34" s="18">
        <v>236</v>
      </c>
      <c r="D34" s="18" t="s">
        <v>21</v>
      </c>
      <c r="E34" s="18" t="s">
        <v>22</v>
      </c>
      <c r="F34" s="18" t="s">
        <v>23</v>
      </c>
      <c r="G34" s="18">
        <v>128</v>
      </c>
      <c r="H34" s="18">
        <v>2</v>
      </c>
      <c r="I34" s="18" t="s">
        <v>45</v>
      </c>
      <c r="J34" s="18" t="s">
        <v>65</v>
      </c>
      <c r="K34" s="18" t="s">
        <v>66</v>
      </c>
      <c r="L34" s="18">
        <v>67.92</v>
      </c>
      <c r="M34" s="18">
        <v>17.122</v>
      </c>
      <c r="N34" s="18">
        <v>3.31</v>
      </c>
      <c r="O34" s="18">
        <v>15.845000000000001</v>
      </c>
      <c r="P34" s="18">
        <v>2.7130000000000001</v>
      </c>
      <c r="Q34" s="18">
        <v>11.106999999999999</v>
      </c>
      <c r="R34" s="19">
        <v>118.017</v>
      </c>
      <c r="T34">
        <f t="shared" si="4"/>
        <v>-42.19638329060561</v>
      </c>
      <c r="V34">
        <f t="shared" si="5"/>
        <v>-46.214454545454544</v>
      </c>
    </row>
    <row r="35" spans="1:22" ht="15" thickBot="1" x14ac:dyDescent="0.35">
      <c r="A35" s="20" t="s">
        <v>79</v>
      </c>
      <c r="B35" s="21" t="s">
        <v>78</v>
      </c>
      <c r="C35" s="21">
        <v>236</v>
      </c>
      <c r="D35" s="21" t="s">
        <v>21</v>
      </c>
      <c r="E35" s="21" t="s">
        <v>22</v>
      </c>
      <c r="F35" s="21" t="s">
        <v>23</v>
      </c>
      <c r="G35" s="21">
        <v>128</v>
      </c>
      <c r="H35" s="21">
        <v>2</v>
      </c>
      <c r="I35" s="21" t="s">
        <v>45</v>
      </c>
      <c r="J35" s="21" t="s">
        <v>65</v>
      </c>
      <c r="K35" s="21" t="s">
        <v>66</v>
      </c>
      <c r="L35" s="21">
        <v>93.361999999999995</v>
      </c>
      <c r="M35" s="21">
        <v>24.215</v>
      </c>
      <c r="N35" s="21">
        <v>4.7850000000000001</v>
      </c>
      <c r="O35" s="21">
        <v>22.119</v>
      </c>
      <c r="P35" s="21">
        <v>3.7309999999999999</v>
      </c>
      <c r="Q35" s="21">
        <v>16.02</v>
      </c>
      <c r="R35" s="22">
        <v>164.232</v>
      </c>
      <c r="T35">
        <f t="shared" si="4"/>
        <v>4.0186167093943936</v>
      </c>
      <c r="V35">
        <f t="shared" si="5"/>
        <v>5.4545454545973371E-4</v>
      </c>
    </row>
    <row r="36" spans="1:22" x14ac:dyDescent="0.3">
      <c r="A36" s="17" t="s">
        <v>80</v>
      </c>
      <c r="B36" s="18" t="s">
        <v>81</v>
      </c>
      <c r="C36" s="18">
        <v>238</v>
      </c>
      <c r="D36" s="18" t="s">
        <v>21</v>
      </c>
      <c r="E36" s="18" t="s">
        <v>22</v>
      </c>
      <c r="F36" s="18" t="s">
        <v>23</v>
      </c>
      <c r="G36" s="18">
        <v>128</v>
      </c>
      <c r="H36" s="18">
        <v>2</v>
      </c>
      <c r="I36" s="18" t="s">
        <v>45</v>
      </c>
      <c r="J36" s="18" t="s">
        <v>65</v>
      </c>
      <c r="K36" s="18" t="s">
        <v>66</v>
      </c>
      <c r="L36" s="18">
        <v>82.608000000000004</v>
      </c>
      <c r="M36" s="18">
        <v>22.34</v>
      </c>
      <c r="N36" s="18">
        <v>4.13</v>
      </c>
      <c r="O36" s="18">
        <v>19.468</v>
      </c>
      <c r="P36" s="18">
        <v>3.2589999999999999</v>
      </c>
      <c r="Q36" s="18">
        <v>13.29</v>
      </c>
      <c r="R36" s="19">
        <v>145.09499999999997</v>
      </c>
      <c r="T36">
        <f t="shared" si="4"/>
        <v>-15.118383290605635</v>
      </c>
      <c r="V36">
        <f t="shared" si="5"/>
        <v>-19.136454545454569</v>
      </c>
    </row>
    <row r="37" spans="1:22" ht="15" thickBot="1" x14ac:dyDescent="0.35">
      <c r="A37" s="20" t="s">
        <v>82</v>
      </c>
      <c r="B37" s="21" t="s">
        <v>81</v>
      </c>
      <c r="C37" s="21">
        <v>238</v>
      </c>
      <c r="D37" s="21" t="s">
        <v>21</v>
      </c>
      <c r="E37" s="21" t="s">
        <v>22</v>
      </c>
      <c r="F37" s="21" t="s">
        <v>23</v>
      </c>
      <c r="G37" s="21">
        <v>128</v>
      </c>
      <c r="H37" s="21">
        <v>2</v>
      </c>
      <c r="I37" s="21" t="s">
        <v>45</v>
      </c>
      <c r="J37" s="21" t="s">
        <v>65</v>
      </c>
      <c r="K37" s="21" t="s">
        <v>66</v>
      </c>
      <c r="L37" s="21">
        <v>97.671000000000006</v>
      </c>
      <c r="M37" s="21">
        <v>23.081</v>
      </c>
      <c r="N37" s="21">
        <v>4.0730000000000004</v>
      </c>
      <c r="O37" s="21">
        <v>20.155999999999999</v>
      </c>
      <c r="P37" s="21">
        <v>3.1560000000000001</v>
      </c>
      <c r="Q37" s="21">
        <v>13.661</v>
      </c>
      <c r="R37" s="22">
        <v>161.79800000000003</v>
      </c>
      <c r="T37">
        <f t="shared" si="4"/>
        <v>1.5846167093944246</v>
      </c>
      <c r="V37">
        <f>R37-$U$26</f>
        <v>-2.4334545454545093</v>
      </c>
    </row>
    <row r="38" spans="1:22" x14ac:dyDescent="0.3">
      <c r="A38" s="26" t="s">
        <v>83</v>
      </c>
      <c r="B38" s="27" t="s">
        <v>84</v>
      </c>
      <c r="C38" s="27">
        <v>130</v>
      </c>
      <c r="D38" s="27" t="s">
        <v>21</v>
      </c>
      <c r="E38" s="27" t="s">
        <v>22</v>
      </c>
      <c r="F38" s="27" t="s">
        <v>23</v>
      </c>
      <c r="G38" s="27">
        <v>115</v>
      </c>
      <c r="H38" s="27">
        <v>1</v>
      </c>
      <c r="I38" s="27" t="s">
        <v>45</v>
      </c>
      <c r="J38" s="27">
        <v>1472</v>
      </c>
      <c r="K38" s="27" t="s">
        <v>85</v>
      </c>
      <c r="L38" s="27">
        <v>22.032</v>
      </c>
      <c r="M38" s="27">
        <v>3.0960000000000001</v>
      </c>
      <c r="N38" s="27">
        <v>0.376</v>
      </c>
      <c r="O38" s="27">
        <v>2.5230000000000001</v>
      </c>
      <c r="P38" s="27">
        <v>0.48899999999999999</v>
      </c>
      <c r="Q38" s="27">
        <v>1.722</v>
      </c>
      <c r="R38" s="28">
        <v>30.238000000000003</v>
      </c>
      <c r="S38">
        <f>GEOMEAN(R38:R51)</f>
        <v>41.542470118430764</v>
      </c>
      <c r="T38">
        <f>R38-$S$38</f>
        <v>-11.304470118430761</v>
      </c>
      <c r="U38">
        <f>AVERAGE(R38:R51)</f>
        <v>42.169928571428571</v>
      </c>
      <c r="V38">
        <f>R38-$U$38</f>
        <v>-11.931928571428568</v>
      </c>
    </row>
    <row r="39" spans="1:22" ht="15" thickBot="1" x14ac:dyDescent="0.35">
      <c r="A39" s="29" t="s">
        <v>86</v>
      </c>
      <c r="B39" s="30" t="s">
        <v>84</v>
      </c>
      <c r="C39" s="30">
        <v>130</v>
      </c>
      <c r="D39" s="30" t="s">
        <v>21</v>
      </c>
      <c r="E39" s="30" t="s">
        <v>22</v>
      </c>
      <c r="F39" s="30" t="s">
        <v>23</v>
      </c>
      <c r="G39" s="30">
        <v>115</v>
      </c>
      <c r="H39" s="30">
        <v>1</v>
      </c>
      <c r="I39" s="30" t="s">
        <v>45</v>
      </c>
      <c r="J39" s="30">
        <v>1472</v>
      </c>
      <c r="K39" s="30" t="s">
        <v>85</v>
      </c>
      <c r="L39" s="30">
        <v>26.541</v>
      </c>
      <c r="M39" s="30">
        <v>3.1389999999999998</v>
      </c>
      <c r="N39" s="30">
        <v>0.372</v>
      </c>
      <c r="O39" s="30">
        <v>2.0720000000000001</v>
      </c>
      <c r="P39" s="30">
        <v>0.34</v>
      </c>
      <c r="Q39" s="30">
        <v>1.5760000000000001</v>
      </c>
      <c r="R39" s="31">
        <v>34.040000000000006</v>
      </c>
      <c r="T39">
        <f t="shared" ref="T39:T51" si="6">R39-$S$38</f>
        <v>-7.5024701184307574</v>
      </c>
      <c r="V39">
        <f t="shared" ref="V39:V50" si="7">R39-$U$38</f>
        <v>-8.1299285714285645</v>
      </c>
    </row>
    <row r="40" spans="1:22" x14ac:dyDescent="0.3">
      <c r="A40" s="26" t="s">
        <v>87</v>
      </c>
      <c r="B40" s="27" t="s">
        <v>88</v>
      </c>
      <c r="C40" s="27">
        <v>131</v>
      </c>
      <c r="D40" s="27" t="s">
        <v>21</v>
      </c>
      <c r="E40" s="27" t="s">
        <v>22</v>
      </c>
      <c r="F40" s="27" t="s">
        <v>23</v>
      </c>
      <c r="G40" s="27">
        <v>115</v>
      </c>
      <c r="H40" s="27">
        <v>1</v>
      </c>
      <c r="I40" s="27" t="s">
        <v>45</v>
      </c>
      <c r="J40" s="27">
        <v>1472</v>
      </c>
      <c r="K40" s="27" t="s">
        <v>85</v>
      </c>
      <c r="L40" s="27">
        <v>30.28</v>
      </c>
      <c r="M40" s="27">
        <v>4.391</v>
      </c>
      <c r="N40" s="27">
        <v>0.59499999999999997</v>
      </c>
      <c r="O40" s="27">
        <v>2.7730000000000001</v>
      </c>
      <c r="P40" s="27">
        <v>0.748</v>
      </c>
      <c r="Q40" s="27">
        <v>1.4390000000000001</v>
      </c>
      <c r="R40" s="28">
        <v>40.225999999999999</v>
      </c>
      <c r="T40">
        <f t="shared" si="6"/>
        <v>-1.3164701184307646</v>
      </c>
      <c r="V40">
        <f t="shared" si="7"/>
        <v>-1.9439285714285717</v>
      </c>
    </row>
    <row r="41" spans="1:22" ht="15" thickBot="1" x14ac:dyDescent="0.35">
      <c r="A41" s="29" t="s">
        <v>89</v>
      </c>
      <c r="B41" s="30" t="s">
        <v>88</v>
      </c>
      <c r="C41" s="30">
        <v>131</v>
      </c>
      <c r="D41" s="30" t="s">
        <v>21</v>
      </c>
      <c r="E41" s="30" t="s">
        <v>22</v>
      </c>
      <c r="F41" s="30" t="s">
        <v>23</v>
      </c>
      <c r="G41" s="30">
        <v>115</v>
      </c>
      <c r="H41" s="30">
        <v>1</v>
      </c>
      <c r="I41" s="30" t="s">
        <v>45</v>
      </c>
      <c r="J41" s="30">
        <v>1472</v>
      </c>
      <c r="K41" s="30" t="s">
        <v>85</v>
      </c>
      <c r="L41" s="30">
        <v>34.707000000000001</v>
      </c>
      <c r="M41" s="30">
        <v>4.375</v>
      </c>
      <c r="N41" s="30">
        <v>0.56799999999999995</v>
      </c>
      <c r="O41" s="30">
        <v>2.6120000000000001</v>
      </c>
      <c r="P41" s="30">
        <v>0.74099999999999999</v>
      </c>
      <c r="Q41" s="30">
        <v>1.2390000000000001</v>
      </c>
      <c r="R41" s="31">
        <v>44.241999999999997</v>
      </c>
      <c r="T41">
        <f t="shared" si="6"/>
        <v>2.6995298815692337</v>
      </c>
      <c r="V41">
        <f t="shared" si="7"/>
        <v>2.0720714285714266</v>
      </c>
    </row>
    <row r="42" spans="1:22" x14ac:dyDescent="0.3">
      <c r="A42" s="26" t="s">
        <v>90</v>
      </c>
      <c r="B42" s="27" t="s">
        <v>91</v>
      </c>
      <c r="C42" s="27">
        <v>135</v>
      </c>
      <c r="D42" s="27" t="s">
        <v>21</v>
      </c>
      <c r="E42" s="27" t="s">
        <v>22</v>
      </c>
      <c r="F42" s="27" t="s">
        <v>23</v>
      </c>
      <c r="G42" s="27">
        <v>111</v>
      </c>
      <c r="H42" s="27">
        <v>1</v>
      </c>
      <c r="I42" s="27" t="s">
        <v>45</v>
      </c>
      <c r="J42" s="27">
        <v>1472</v>
      </c>
      <c r="K42" s="27" t="s">
        <v>85</v>
      </c>
      <c r="L42" s="27">
        <v>23.350999999999999</v>
      </c>
      <c r="M42" s="27">
        <v>6.8310000000000004</v>
      </c>
      <c r="N42" s="27">
        <v>1.383</v>
      </c>
      <c r="O42" s="27">
        <v>5.5810000000000004</v>
      </c>
      <c r="P42" s="27">
        <v>1.1519999999999999</v>
      </c>
      <c r="Q42" s="27">
        <v>5.3159999999999998</v>
      </c>
      <c r="R42" s="28">
        <v>43.614000000000004</v>
      </c>
      <c r="T42">
        <f t="shared" si="6"/>
        <v>2.0715298815692407</v>
      </c>
      <c r="V42">
        <f t="shared" si="7"/>
        <v>1.4440714285714336</v>
      </c>
    </row>
    <row r="43" spans="1:22" ht="15" thickBot="1" x14ac:dyDescent="0.35">
      <c r="A43" s="29" t="s">
        <v>92</v>
      </c>
      <c r="B43" s="30" t="s">
        <v>91</v>
      </c>
      <c r="C43" s="30">
        <v>135</v>
      </c>
      <c r="D43" s="30" t="s">
        <v>21</v>
      </c>
      <c r="E43" s="30" t="s">
        <v>22</v>
      </c>
      <c r="F43" s="30" t="s">
        <v>23</v>
      </c>
      <c r="G43" s="30">
        <v>111</v>
      </c>
      <c r="H43" s="30">
        <v>1</v>
      </c>
      <c r="I43" s="30" t="s">
        <v>45</v>
      </c>
      <c r="J43" s="30">
        <v>1472</v>
      </c>
      <c r="K43" s="30" t="s">
        <v>85</v>
      </c>
      <c r="L43" s="30">
        <v>24.387</v>
      </c>
      <c r="M43" s="30">
        <v>4.0170000000000003</v>
      </c>
      <c r="N43" s="30">
        <v>0.61</v>
      </c>
      <c r="O43" s="30">
        <v>4.1150000000000002</v>
      </c>
      <c r="P43" s="30">
        <v>0.88700000000000001</v>
      </c>
      <c r="Q43" s="30">
        <v>3.3959999999999999</v>
      </c>
      <c r="R43" s="31">
        <v>37.411999999999999</v>
      </c>
      <c r="T43">
        <f t="shared" si="6"/>
        <v>-4.1304701184307646</v>
      </c>
      <c r="V43">
        <f t="shared" si="7"/>
        <v>-4.7579285714285717</v>
      </c>
    </row>
    <row r="44" spans="1:22" x14ac:dyDescent="0.3">
      <c r="A44" s="26" t="s">
        <v>93</v>
      </c>
      <c r="B44" s="27" t="s">
        <v>94</v>
      </c>
      <c r="C44" s="27">
        <v>246</v>
      </c>
      <c r="D44" s="27" t="s">
        <v>21</v>
      </c>
      <c r="E44" s="27" t="s">
        <v>22</v>
      </c>
      <c r="F44" s="27" t="s">
        <v>23</v>
      </c>
      <c r="G44" s="27">
        <v>120</v>
      </c>
      <c r="H44" s="27">
        <v>2</v>
      </c>
      <c r="I44" s="27" t="s">
        <v>45</v>
      </c>
      <c r="J44" s="27">
        <v>1472</v>
      </c>
      <c r="K44" s="27" t="s">
        <v>85</v>
      </c>
      <c r="L44" s="27">
        <v>26.608000000000001</v>
      </c>
      <c r="M44" s="27">
        <v>5.7320000000000002</v>
      </c>
      <c r="N44" s="27">
        <v>0.92300000000000004</v>
      </c>
      <c r="O44" s="27">
        <v>5.8360000000000003</v>
      </c>
      <c r="P44" s="27">
        <v>1.1220000000000001</v>
      </c>
      <c r="Q44" s="27">
        <v>4.5220000000000002</v>
      </c>
      <c r="R44" s="28">
        <v>44.743000000000002</v>
      </c>
      <c r="T44">
        <f t="shared" si="6"/>
        <v>3.2005298815692385</v>
      </c>
      <c r="V44">
        <f t="shared" si="7"/>
        <v>2.5730714285714313</v>
      </c>
    </row>
    <row r="45" spans="1:22" ht="15" thickBot="1" x14ac:dyDescent="0.35">
      <c r="A45" s="29" t="s">
        <v>95</v>
      </c>
      <c r="B45" s="30" t="s">
        <v>94</v>
      </c>
      <c r="C45" s="30">
        <v>246</v>
      </c>
      <c r="D45" s="30" t="s">
        <v>21</v>
      </c>
      <c r="E45" s="30" t="s">
        <v>22</v>
      </c>
      <c r="F45" s="30" t="s">
        <v>23</v>
      </c>
      <c r="G45" s="30">
        <v>120</v>
      </c>
      <c r="H45" s="30">
        <v>2</v>
      </c>
      <c r="I45" s="30" t="s">
        <v>45</v>
      </c>
      <c r="J45" s="30">
        <v>1472</v>
      </c>
      <c r="K45" s="30" t="s">
        <v>85</v>
      </c>
      <c r="L45" s="30">
        <v>22.606000000000002</v>
      </c>
      <c r="M45" s="30">
        <v>3.4350000000000001</v>
      </c>
      <c r="N45" s="30">
        <v>0.45600000000000002</v>
      </c>
      <c r="O45" s="30">
        <v>3.7719999999999998</v>
      </c>
      <c r="P45" s="30">
        <v>1.226</v>
      </c>
      <c r="Q45" s="30">
        <v>2.9</v>
      </c>
      <c r="R45" s="31">
        <v>34.394999999999996</v>
      </c>
      <c r="T45">
        <f t="shared" si="6"/>
        <v>-7.1474701184307676</v>
      </c>
      <c r="V45">
        <f t="shared" si="7"/>
        <v>-7.7749285714285747</v>
      </c>
    </row>
    <row r="46" spans="1:22" x14ac:dyDescent="0.3">
      <c r="A46" s="26" t="s">
        <v>96</v>
      </c>
      <c r="B46" s="27" t="s">
        <v>97</v>
      </c>
      <c r="C46" s="27">
        <v>248</v>
      </c>
      <c r="D46" s="27" t="s">
        <v>21</v>
      </c>
      <c r="E46" s="27" t="s">
        <v>22</v>
      </c>
      <c r="F46" s="27" t="s">
        <v>23</v>
      </c>
      <c r="G46" s="27">
        <v>127</v>
      </c>
      <c r="H46" s="27">
        <v>2</v>
      </c>
      <c r="I46" s="27" t="s">
        <v>45</v>
      </c>
      <c r="J46" s="27">
        <v>1472</v>
      </c>
      <c r="K46" s="27" t="s">
        <v>85</v>
      </c>
      <c r="L46" s="27">
        <v>23.722000000000001</v>
      </c>
      <c r="M46" s="27">
        <v>5.859</v>
      </c>
      <c r="N46" s="27">
        <v>0.96099999999999997</v>
      </c>
      <c r="O46" s="27">
        <v>5.43</v>
      </c>
      <c r="P46" s="27">
        <v>0.92700000000000005</v>
      </c>
      <c r="Q46" s="27">
        <v>5.3470000000000004</v>
      </c>
      <c r="R46" s="28">
        <v>42.246000000000002</v>
      </c>
      <c r="T46">
        <f t="shared" si="6"/>
        <v>0.70352988156923857</v>
      </c>
      <c r="V46">
        <f t="shared" si="7"/>
        <v>7.6071428571431454E-2</v>
      </c>
    </row>
    <row r="47" spans="1:22" ht="15" thickBot="1" x14ac:dyDescent="0.35">
      <c r="A47" s="29" t="s">
        <v>98</v>
      </c>
      <c r="B47" s="30" t="s">
        <v>97</v>
      </c>
      <c r="C47" s="30">
        <v>248</v>
      </c>
      <c r="D47" s="30" t="s">
        <v>21</v>
      </c>
      <c r="E47" s="30" t="s">
        <v>22</v>
      </c>
      <c r="F47" s="30" t="s">
        <v>23</v>
      </c>
      <c r="G47" s="30">
        <v>127</v>
      </c>
      <c r="H47" s="30">
        <v>2</v>
      </c>
      <c r="I47" s="30" t="s">
        <v>45</v>
      </c>
      <c r="J47" s="30">
        <v>1472</v>
      </c>
      <c r="K47" s="30" t="s">
        <v>85</v>
      </c>
      <c r="L47" s="30">
        <v>26.861000000000001</v>
      </c>
      <c r="M47" s="30">
        <v>4.3369999999999997</v>
      </c>
      <c r="N47" s="30">
        <v>0.62</v>
      </c>
      <c r="O47" s="30">
        <v>5.3179999999999996</v>
      </c>
      <c r="P47" s="30">
        <v>1.7010000000000001</v>
      </c>
      <c r="Q47" s="30">
        <v>4.2149999999999999</v>
      </c>
      <c r="R47" s="31">
        <v>43.052000000000007</v>
      </c>
      <c r="T47">
        <f t="shared" si="6"/>
        <v>1.5095298815692431</v>
      </c>
      <c r="V47">
        <f t="shared" si="7"/>
        <v>0.88207142857143594</v>
      </c>
    </row>
    <row r="48" spans="1:22" x14ac:dyDescent="0.3">
      <c r="A48" s="26" t="s">
        <v>99</v>
      </c>
      <c r="B48" s="27" t="s">
        <v>100</v>
      </c>
      <c r="C48" s="27">
        <v>435</v>
      </c>
      <c r="D48" s="27" t="s">
        <v>21</v>
      </c>
      <c r="E48" s="27" t="s">
        <v>22</v>
      </c>
      <c r="F48" s="27" t="s">
        <v>23</v>
      </c>
      <c r="G48" s="27">
        <v>116</v>
      </c>
      <c r="H48" s="27">
        <v>4</v>
      </c>
      <c r="I48" s="27" t="s">
        <v>45</v>
      </c>
      <c r="J48" s="27">
        <v>1472</v>
      </c>
      <c r="K48" s="27" t="s">
        <v>85</v>
      </c>
      <c r="L48" s="27">
        <v>32.380000000000003</v>
      </c>
      <c r="M48" s="27">
        <v>6.8780000000000001</v>
      </c>
      <c r="N48" s="27">
        <v>1.1200000000000001</v>
      </c>
      <c r="O48" s="27">
        <v>6.9329999999999998</v>
      </c>
      <c r="P48" s="27">
        <v>1.2130000000000001</v>
      </c>
      <c r="Q48" s="27">
        <v>5.5289999999999999</v>
      </c>
      <c r="R48" s="28">
        <v>54.052999999999997</v>
      </c>
      <c r="T48">
        <f t="shared" si="6"/>
        <v>12.510529881569234</v>
      </c>
      <c r="V48">
        <f t="shared" si="7"/>
        <v>11.883071428571427</v>
      </c>
    </row>
    <row r="49" spans="1:22" ht="15" thickBot="1" x14ac:dyDescent="0.35">
      <c r="A49" s="29" t="s">
        <v>101</v>
      </c>
      <c r="B49" s="30" t="s">
        <v>100</v>
      </c>
      <c r="C49" s="30">
        <v>435</v>
      </c>
      <c r="D49" s="30" t="s">
        <v>21</v>
      </c>
      <c r="E49" s="30" t="s">
        <v>22</v>
      </c>
      <c r="F49" s="30" t="s">
        <v>23</v>
      </c>
      <c r="G49" s="30">
        <v>116</v>
      </c>
      <c r="H49" s="30">
        <v>4</v>
      </c>
      <c r="I49" s="30" t="s">
        <v>45</v>
      </c>
      <c r="J49" s="30">
        <v>1472</v>
      </c>
      <c r="K49" s="30" t="s">
        <v>85</v>
      </c>
      <c r="L49" s="30">
        <v>36.807000000000002</v>
      </c>
      <c r="M49" s="30">
        <v>5.399</v>
      </c>
      <c r="N49" s="30">
        <v>0.749</v>
      </c>
      <c r="O49" s="30">
        <v>4.8520000000000003</v>
      </c>
      <c r="P49" s="30">
        <v>1.2609999999999999</v>
      </c>
      <c r="Q49" s="30">
        <v>4.915</v>
      </c>
      <c r="R49" s="31">
        <v>53.983000000000004</v>
      </c>
      <c r="T49">
        <f t="shared" si="6"/>
        <v>12.44052988156924</v>
      </c>
      <c r="V49">
        <f t="shared" si="7"/>
        <v>11.813071428571433</v>
      </c>
    </row>
    <row r="50" spans="1:22" x14ac:dyDescent="0.3">
      <c r="A50" s="26" t="s">
        <v>102</v>
      </c>
      <c r="B50" s="27" t="s">
        <v>103</v>
      </c>
      <c r="C50" s="27">
        <v>501</v>
      </c>
      <c r="D50" s="27" t="s">
        <v>21</v>
      </c>
      <c r="E50" s="27" t="s">
        <v>22</v>
      </c>
      <c r="F50" s="27" t="s">
        <v>23</v>
      </c>
      <c r="G50" s="27">
        <v>130</v>
      </c>
      <c r="H50" s="27">
        <v>5</v>
      </c>
      <c r="I50" s="27" t="s">
        <v>45</v>
      </c>
      <c r="J50" s="27">
        <v>1472</v>
      </c>
      <c r="K50" s="27" t="s">
        <v>85</v>
      </c>
      <c r="L50" s="27">
        <v>31.821000000000002</v>
      </c>
      <c r="M50" s="27">
        <v>7.7389999999999999</v>
      </c>
      <c r="N50" s="27">
        <v>0.93500000000000005</v>
      </c>
      <c r="O50" s="27">
        <v>7.2640000000000002</v>
      </c>
      <c r="P50" s="27">
        <v>0.95899999999999996</v>
      </c>
      <c r="Q50" s="27">
        <v>3.9689999999999999</v>
      </c>
      <c r="R50" s="28">
        <v>52.687000000000012</v>
      </c>
      <c r="T50">
        <f t="shared" si="6"/>
        <v>11.144529881569248</v>
      </c>
      <c r="V50">
        <f t="shared" si="7"/>
        <v>10.517071428571441</v>
      </c>
    </row>
    <row r="51" spans="1:22" ht="15" thickBot="1" x14ac:dyDescent="0.35">
      <c r="A51" s="29" t="s">
        <v>104</v>
      </c>
      <c r="B51" s="30" t="s">
        <v>103</v>
      </c>
      <c r="C51" s="30">
        <v>501</v>
      </c>
      <c r="D51" s="30" t="s">
        <v>21</v>
      </c>
      <c r="E51" s="30" t="s">
        <v>22</v>
      </c>
      <c r="F51" s="30" t="s">
        <v>23</v>
      </c>
      <c r="G51" s="30">
        <v>130</v>
      </c>
      <c r="H51" s="30">
        <v>5</v>
      </c>
      <c r="I51" s="30" t="s">
        <v>45</v>
      </c>
      <c r="J51" s="30">
        <v>1472</v>
      </c>
      <c r="K51" s="30" t="s">
        <v>85</v>
      </c>
      <c r="L51" s="30">
        <v>24.518000000000001</v>
      </c>
      <c r="M51" s="30">
        <v>4.1719999999999997</v>
      </c>
      <c r="N51" s="30">
        <v>0.33400000000000002</v>
      </c>
      <c r="O51" s="30">
        <v>3.6850000000000001</v>
      </c>
      <c r="P51" s="30">
        <v>0.33</v>
      </c>
      <c r="Q51" s="30">
        <v>2.4089999999999998</v>
      </c>
      <c r="R51" s="31">
        <v>35.448</v>
      </c>
      <c r="T51">
        <f t="shared" si="6"/>
        <v>-6.0944701184307633</v>
      </c>
      <c r="V51">
        <f>R51-$U$38</f>
        <v>-6.7219285714285704</v>
      </c>
    </row>
    <row r="52" spans="1:22" x14ac:dyDescent="0.3">
      <c r="A52" s="5" t="s">
        <v>105</v>
      </c>
      <c r="B52" s="6" t="s">
        <v>106</v>
      </c>
      <c r="C52" s="6">
        <v>105</v>
      </c>
      <c r="D52" s="6" t="s">
        <v>21</v>
      </c>
      <c r="E52" s="6" t="s">
        <v>22</v>
      </c>
      <c r="F52" s="6" t="s">
        <v>107</v>
      </c>
      <c r="G52" s="6">
        <v>105</v>
      </c>
      <c r="H52" s="6">
        <v>1</v>
      </c>
      <c r="I52" s="6" t="s">
        <v>24</v>
      </c>
      <c r="J52" s="6" t="s">
        <v>25</v>
      </c>
      <c r="K52" s="6" t="s">
        <v>26</v>
      </c>
      <c r="L52" s="6">
        <v>28.125</v>
      </c>
      <c r="M52" s="6">
        <v>6.5279999999999996</v>
      </c>
      <c r="N52" s="6">
        <v>1.175</v>
      </c>
      <c r="O52" s="6">
        <v>6.5279999999999996</v>
      </c>
      <c r="P52" s="6">
        <v>1.36</v>
      </c>
      <c r="Q52" s="6">
        <v>5.5449999999999999</v>
      </c>
      <c r="R52" s="7">
        <v>49.260999999999996</v>
      </c>
      <c r="S52">
        <f>GEOMEAN(R52:R63)</f>
        <v>49.852438384274059</v>
      </c>
      <c r="T52">
        <f>R52-$S$52</f>
        <v>-0.59143838427406337</v>
      </c>
      <c r="U52">
        <f>AVERAGE(R52:R63)</f>
        <v>50.792916666666663</v>
      </c>
      <c r="V52">
        <f>R52-$U$52</f>
        <v>-1.5319166666666675</v>
      </c>
    </row>
    <row r="53" spans="1:22" ht="15" thickBot="1" x14ac:dyDescent="0.35">
      <c r="A53" s="8" t="s">
        <v>108</v>
      </c>
      <c r="B53" s="9" t="s">
        <v>106</v>
      </c>
      <c r="C53" s="9">
        <v>105</v>
      </c>
      <c r="D53" s="9" t="s">
        <v>21</v>
      </c>
      <c r="E53" s="9" t="s">
        <v>22</v>
      </c>
      <c r="F53" s="9" t="s">
        <v>107</v>
      </c>
      <c r="G53" s="9">
        <v>105</v>
      </c>
      <c r="H53" s="9">
        <v>1</v>
      </c>
      <c r="I53" s="9" t="s">
        <v>24</v>
      </c>
      <c r="J53" s="9" t="s">
        <v>25</v>
      </c>
      <c r="K53" s="9" t="s">
        <v>26</v>
      </c>
      <c r="L53" s="9">
        <v>25.707000000000001</v>
      </c>
      <c r="M53" s="9">
        <v>4.8860000000000001</v>
      </c>
      <c r="N53" s="9">
        <v>0.76400000000000001</v>
      </c>
      <c r="O53" s="9">
        <v>3.9790000000000001</v>
      </c>
      <c r="P53" s="9">
        <v>0.97899999999999998</v>
      </c>
      <c r="Q53" s="9">
        <v>4.12</v>
      </c>
      <c r="R53" s="10">
        <v>40.434999999999995</v>
      </c>
      <c r="T53">
        <f t="shared" ref="T53:T63" si="8">R53-$S$52</f>
        <v>-9.4174383842740639</v>
      </c>
      <c r="V53">
        <f t="shared" ref="V53:V62" si="9">R53-$U$52</f>
        <v>-10.357916666666668</v>
      </c>
    </row>
    <row r="54" spans="1:22" x14ac:dyDescent="0.3">
      <c r="A54" s="5" t="s">
        <v>109</v>
      </c>
      <c r="B54" s="6" t="s">
        <v>110</v>
      </c>
      <c r="C54" s="6">
        <v>106</v>
      </c>
      <c r="D54" s="6" t="s">
        <v>21</v>
      </c>
      <c r="E54" s="6" t="s">
        <v>22</v>
      </c>
      <c r="F54" s="6" t="s">
        <v>107</v>
      </c>
      <c r="G54" s="6">
        <v>105</v>
      </c>
      <c r="H54" s="6">
        <v>1</v>
      </c>
      <c r="I54" s="6" t="s">
        <v>24</v>
      </c>
      <c r="J54" s="6" t="s">
        <v>25</v>
      </c>
      <c r="K54" s="6" t="s">
        <v>26</v>
      </c>
      <c r="L54" s="6">
        <v>31.788</v>
      </c>
      <c r="M54" s="6">
        <v>5.923</v>
      </c>
      <c r="N54" s="6">
        <v>0.80800000000000005</v>
      </c>
      <c r="O54" s="6">
        <v>5.5110000000000001</v>
      </c>
      <c r="P54" s="6">
        <v>0.93799999999999994</v>
      </c>
      <c r="Q54" s="6">
        <v>3.9350000000000001</v>
      </c>
      <c r="R54" s="7">
        <v>48.903000000000006</v>
      </c>
      <c r="T54">
        <f t="shared" si="8"/>
        <v>-0.94943838427405325</v>
      </c>
      <c r="V54">
        <f t="shared" si="9"/>
        <v>-1.8899166666666574</v>
      </c>
    </row>
    <row r="55" spans="1:22" ht="15" thickBot="1" x14ac:dyDescent="0.35">
      <c r="A55" s="8" t="s">
        <v>111</v>
      </c>
      <c r="B55" s="9" t="s">
        <v>110</v>
      </c>
      <c r="C55" s="9">
        <v>106</v>
      </c>
      <c r="D55" s="9" t="s">
        <v>21</v>
      </c>
      <c r="E55" s="9" t="s">
        <v>22</v>
      </c>
      <c r="F55" s="9" t="s">
        <v>107</v>
      </c>
      <c r="G55" s="9">
        <v>105</v>
      </c>
      <c r="H55" s="9">
        <v>1</v>
      </c>
      <c r="I55" s="9" t="s">
        <v>24</v>
      </c>
      <c r="J55" s="9" t="s">
        <v>25</v>
      </c>
      <c r="K55" s="9" t="s">
        <v>26</v>
      </c>
      <c r="L55" s="9">
        <v>34.590000000000003</v>
      </c>
      <c r="M55" s="9">
        <v>4.76</v>
      </c>
      <c r="N55" s="9">
        <v>0.55700000000000005</v>
      </c>
      <c r="O55" s="9">
        <v>4.8680000000000003</v>
      </c>
      <c r="P55" s="9">
        <v>1.1279999999999999</v>
      </c>
      <c r="Q55" s="9">
        <v>3.54</v>
      </c>
      <c r="R55" s="10">
        <v>49.443000000000005</v>
      </c>
      <c r="T55">
        <f t="shared" si="8"/>
        <v>-0.4094383842740541</v>
      </c>
      <c r="V55">
        <f t="shared" si="9"/>
        <v>-1.3499166666666582</v>
      </c>
    </row>
    <row r="56" spans="1:22" x14ac:dyDescent="0.3">
      <c r="A56" s="5" t="s">
        <v>112</v>
      </c>
      <c r="B56" s="6" t="s">
        <v>113</v>
      </c>
      <c r="C56" s="6">
        <v>116</v>
      </c>
      <c r="D56" s="6" t="s">
        <v>21</v>
      </c>
      <c r="E56" s="6" t="s">
        <v>22</v>
      </c>
      <c r="F56" s="6" t="s">
        <v>107</v>
      </c>
      <c r="G56" s="6">
        <v>104</v>
      </c>
      <c r="H56" s="6">
        <v>1</v>
      </c>
      <c r="I56" s="6" t="s">
        <v>24</v>
      </c>
      <c r="J56" s="6" t="s">
        <v>25</v>
      </c>
      <c r="K56" s="6" t="s">
        <v>26</v>
      </c>
      <c r="L56" s="6">
        <v>44.05</v>
      </c>
      <c r="M56" s="6">
        <v>10.220000000000001</v>
      </c>
      <c r="N56" s="6">
        <v>1.575</v>
      </c>
      <c r="O56" s="6">
        <v>9.8569999999999993</v>
      </c>
      <c r="P56" s="6">
        <v>1.72</v>
      </c>
      <c r="Q56" s="6">
        <v>8.2249999999999996</v>
      </c>
      <c r="R56" s="7">
        <v>75.646999999999991</v>
      </c>
      <c r="T56">
        <f t="shared" si="8"/>
        <v>25.794561615725932</v>
      </c>
      <c r="V56">
        <f t="shared" si="9"/>
        <v>24.854083333333328</v>
      </c>
    </row>
    <row r="57" spans="1:22" ht="15" thickBot="1" x14ac:dyDescent="0.35">
      <c r="A57" s="8" t="s">
        <v>114</v>
      </c>
      <c r="B57" s="9" t="s">
        <v>113</v>
      </c>
      <c r="C57" s="9">
        <v>116</v>
      </c>
      <c r="D57" s="9" t="s">
        <v>21</v>
      </c>
      <c r="E57" s="9" t="s">
        <v>22</v>
      </c>
      <c r="F57" s="9" t="s">
        <v>107</v>
      </c>
      <c r="G57" s="9">
        <v>104</v>
      </c>
      <c r="H57" s="9">
        <v>1</v>
      </c>
      <c r="I57" s="9" t="s">
        <v>24</v>
      </c>
      <c r="J57" s="9" t="s">
        <v>25</v>
      </c>
      <c r="K57" s="9" t="s">
        <v>26</v>
      </c>
      <c r="L57" s="9">
        <v>24.363</v>
      </c>
      <c r="M57" s="9">
        <v>4.67</v>
      </c>
      <c r="N57" s="9">
        <v>0.63900000000000001</v>
      </c>
      <c r="O57" s="9">
        <v>4.1390000000000002</v>
      </c>
      <c r="P57" s="9">
        <v>1.24</v>
      </c>
      <c r="Q57" s="9">
        <v>4.0140000000000002</v>
      </c>
      <c r="R57" s="10">
        <v>39.065000000000005</v>
      </c>
      <c r="T57">
        <f t="shared" si="8"/>
        <v>-10.787438384274054</v>
      </c>
      <c r="V57">
        <f t="shared" si="9"/>
        <v>-11.727916666666658</v>
      </c>
    </row>
    <row r="58" spans="1:22" x14ac:dyDescent="0.3">
      <c r="A58" s="5" t="s">
        <v>115</v>
      </c>
      <c r="B58" s="6" t="s">
        <v>116</v>
      </c>
      <c r="C58" s="6">
        <v>209</v>
      </c>
      <c r="D58" s="6" t="s">
        <v>21</v>
      </c>
      <c r="E58" s="6" t="s">
        <v>22</v>
      </c>
      <c r="F58" s="6" t="s">
        <v>107</v>
      </c>
      <c r="G58" s="6">
        <v>122</v>
      </c>
      <c r="H58" s="6">
        <v>2</v>
      </c>
      <c r="I58" s="6" t="s">
        <v>24</v>
      </c>
      <c r="J58" s="6" t="s">
        <v>25</v>
      </c>
      <c r="K58" s="6" t="s">
        <v>26</v>
      </c>
      <c r="L58" s="6">
        <v>36.024999999999999</v>
      </c>
      <c r="M58" s="6">
        <v>9.6419999999999995</v>
      </c>
      <c r="N58" s="6">
        <v>1.514</v>
      </c>
      <c r="O58" s="6">
        <v>9.19</v>
      </c>
      <c r="P58" s="6">
        <v>1.6950000000000001</v>
      </c>
      <c r="Q58" s="6">
        <v>7.8620000000000001</v>
      </c>
      <c r="R58" s="7">
        <v>65.927999999999997</v>
      </c>
      <c r="T58">
        <f t="shared" si="8"/>
        <v>16.075561615725938</v>
      </c>
      <c r="V58">
        <f t="shared" si="9"/>
        <v>15.135083333333334</v>
      </c>
    </row>
    <row r="59" spans="1:22" ht="15" thickBot="1" x14ac:dyDescent="0.35">
      <c r="A59" s="8" t="s">
        <v>117</v>
      </c>
      <c r="B59" s="9" t="s">
        <v>116</v>
      </c>
      <c r="C59" s="9">
        <v>209</v>
      </c>
      <c r="D59" s="9" t="s">
        <v>21</v>
      </c>
      <c r="E59" s="9" t="s">
        <v>22</v>
      </c>
      <c r="F59" s="9" t="s">
        <v>107</v>
      </c>
      <c r="G59" s="9">
        <v>122</v>
      </c>
      <c r="H59" s="9">
        <v>2</v>
      </c>
      <c r="I59" s="9" t="s">
        <v>24</v>
      </c>
      <c r="J59" s="9" t="s">
        <v>25</v>
      </c>
      <c r="K59" s="9" t="s">
        <v>26</v>
      </c>
      <c r="L59" s="9">
        <v>34.856999999999999</v>
      </c>
      <c r="M59" s="9">
        <v>5.7430000000000003</v>
      </c>
      <c r="N59" s="9">
        <v>0.85599999999999998</v>
      </c>
      <c r="O59" s="9">
        <v>6.19</v>
      </c>
      <c r="P59" s="9">
        <v>1.4550000000000001</v>
      </c>
      <c r="Q59" s="9">
        <v>5.298</v>
      </c>
      <c r="R59" s="10">
        <v>54.399000000000001</v>
      </c>
      <c r="T59">
        <f t="shared" si="8"/>
        <v>4.5465616157259419</v>
      </c>
      <c r="V59">
        <f t="shared" si="9"/>
        <v>3.6060833333333377</v>
      </c>
    </row>
    <row r="60" spans="1:22" x14ac:dyDescent="0.3">
      <c r="A60" s="5" t="s">
        <v>118</v>
      </c>
      <c r="B60" s="6" t="s">
        <v>119</v>
      </c>
      <c r="C60" s="6">
        <v>405</v>
      </c>
      <c r="D60" s="6" t="s">
        <v>21</v>
      </c>
      <c r="E60" s="6" t="s">
        <v>22</v>
      </c>
      <c r="F60" s="6" t="s">
        <v>107</v>
      </c>
      <c r="G60" s="6">
        <v>129</v>
      </c>
      <c r="H60" s="6">
        <v>4</v>
      </c>
      <c r="I60" s="6" t="s">
        <v>24</v>
      </c>
      <c r="J60" s="6" t="s">
        <v>25</v>
      </c>
      <c r="K60" s="6" t="s">
        <v>26</v>
      </c>
      <c r="L60" s="6">
        <v>29.684000000000001</v>
      </c>
      <c r="M60" s="6">
        <v>7.7560000000000002</v>
      </c>
      <c r="N60" s="6">
        <v>1.2310000000000001</v>
      </c>
      <c r="O60" s="6">
        <v>6.6890000000000001</v>
      </c>
      <c r="P60" s="6">
        <v>1.2</v>
      </c>
      <c r="Q60" s="6">
        <v>6.2969999999999997</v>
      </c>
      <c r="R60" s="7">
        <v>52.856999999999999</v>
      </c>
      <c r="T60">
        <f t="shared" si="8"/>
        <v>3.0045616157259403</v>
      </c>
      <c r="V60">
        <f t="shared" si="9"/>
        <v>2.0640833333333362</v>
      </c>
    </row>
    <row r="61" spans="1:22" ht="15" thickBot="1" x14ac:dyDescent="0.35">
      <c r="A61" s="8" t="s">
        <v>120</v>
      </c>
      <c r="B61" s="9" t="s">
        <v>119</v>
      </c>
      <c r="C61" s="9">
        <v>405</v>
      </c>
      <c r="D61" s="9" t="s">
        <v>21</v>
      </c>
      <c r="E61" s="9" t="s">
        <v>22</v>
      </c>
      <c r="F61" s="9" t="s">
        <v>107</v>
      </c>
      <c r="G61" s="9">
        <v>129</v>
      </c>
      <c r="H61" s="9">
        <v>4</v>
      </c>
      <c r="I61" s="9" t="s">
        <v>24</v>
      </c>
      <c r="J61" s="9" t="s">
        <v>25</v>
      </c>
      <c r="K61" s="9" t="s">
        <v>26</v>
      </c>
      <c r="L61" s="9">
        <v>28.689</v>
      </c>
      <c r="M61" s="9">
        <v>5.3440000000000003</v>
      </c>
      <c r="N61" s="9">
        <v>0.81699999999999995</v>
      </c>
      <c r="O61" s="9">
        <v>4.7069999999999999</v>
      </c>
      <c r="P61" s="9">
        <v>0.76900000000000002</v>
      </c>
      <c r="Q61" s="9">
        <v>4.2729999999999997</v>
      </c>
      <c r="R61" s="10">
        <v>44.599000000000004</v>
      </c>
      <c r="T61">
        <f t="shared" si="8"/>
        <v>-5.2534383842740553</v>
      </c>
      <c r="V61">
        <f t="shared" si="9"/>
        <v>-6.1939166666666594</v>
      </c>
    </row>
    <row r="62" spans="1:22" x14ac:dyDescent="0.3">
      <c r="A62" s="5" t="s">
        <v>121</v>
      </c>
      <c r="B62" s="6" t="s">
        <v>122</v>
      </c>
      <c r="C62" s="6">
        <v>412</v>
      </c>
      <c r="D62" s="6" t="s">
        <v>21</v>
      </c>
      <c r="E62" s="6" t="s">
        <v>22</v>
      </c>
      <c r="F62" s="6" t="s">
        <v>107</v>
      </c>
      <c r="G62" s="6">
        <v>113</v>
      </c>
      <c r="H62" s="6">
        <v>4</v>
      </c>
      <c r="I62" s="6" t="s">
        <v>24</v>
      </c>
      <c r="J62" s="6" t="s">
        <v>25</v>
      </c>
      <c r="K62" s="6" t="s">
        <v>26</v>
      </c>
      <c r="L62" s="6">
        <v>28.905999999999999</v>
      </c>
      <c r="M62" s="6">
        <v>6.335</v>
      </c>
      <c r="N62" s="6">
        <v>1.105</v>
      </c>
      <c r="O62" s="6">
        <v>6.1829999999999998</v>
      </c>
      <c r="P62" s="6">
        <v>1.2370000000000001</v>
      </c>
      <c r="Q62" s="6">
        <v>5.3079999999999998</v>
      </c>
      <c r="R62" s="7">
        <v>49.073999999999998</v>
      </c>
      <c r="T62">
        <f t="shared" si="8"/>
        <v>-0.77843838427406098</v>
      </c>
      <c r="V62">
        <f t="shared" si="9"/>
        <v>-1.7189166666666651</v>
      </c>
    </row>
    <row r="63" spans="1:22" ht="15" thickBot="1" x14ac:dyDescent="0.35">
      <c r="A63" s="8" t="s">
        <v>123</v>
      </c>
      <c r="B63" s="9" t="s">
        <v>122</v>
      </c>
      <c r="C63" s="9">
        <v>412</v>
      </c>
      <c r="D63" s="9" t="s">
        <v>21</v>
      </c>
      <c r="E63" s="9" t="s">
        <v>22</v>
      </c>
      <c r="F63" s="9" t="s">
        <v>107</v>
      </c>
      <c r="G63" s="9">
        <v>113</v>
      </c>
      <c r="H63" s="9">
        <v>4</v>
      </c>
      <c r="I63" s="9" t="s">
        <v>24</v>
      </c>
      <c r="J63" s="9" t="s">
        <v>25</v>
      </c>
      <c r="K63" s="9" t="s">
        <v>26</v>
      </c>
      <c r="L63" s="9">
        <v>26.088999999999999</v>
      </c>
      <c r="M63" s="9">
        <v>4.1900000000000004</v>
      </c>
      <c r="N63" s="9">
        <v>0.63300000000000001</v>
      </c>
      <c r="O63" s="9">
        <v>4.0670000000000002</v>
      </c>
      <c r="P63" s="9">
        <v>0.99199999999999999</v>
      </c>
      <c r="Q63" s="9">
        <v>3.9329999999999998</v>
      </c>
      <c r="R63" s="10">
        <v>39.903999999999996</v>
      </c>
      <c r="T63">
        <f t="shared" si="8"/>
        <v>-9.9484383842740627</v>
      </c>
      <c r="V63">
        <f>R63-$U$52</f>
        <v>-10.888916666666667</v>
      </c>
    </row>
    <row r="64" spans="1:22" x14ac:dyDescent="0.3">
      <c r="A64" s="11" t="s">
        <v>124</v>
      </c>
      <c r="B64" s="12" t="s">
        <v>125</v>
      </c>
      <c r="C64" s="12">
        <v>110</v>
      </c>
      <c r="D64" s="12" t="s">
        <v>21</v>
      </c>
      <c r="E64" s="12" t="s">
        <v>22</v>
      </c>
      <c r="F64" s="12" t="s">
        <v>107</v>
      </c>
      <c r="G64" s="12">
        <v>110</v>
      </c>
      <c r="H64" s="12">
        <v>1</v>
      </c>
      <c r="I64" s="12" t="s">
        <v>45</v>
      </c>
      <c r="J64" s="12" t="s">
        <v>25</v>
      </c>
      <c r="K64" s="12" t="s">
        <v>46</v>
      </c>
      <c r="L64" s="12">
        <v>21.399000000000001</v>
      </c>
      <c r="M64" s="12">
        <v>5.7270000000000003</v>
      </c>
      <c r="N64" s="12">
        <v>1.0209999999999999</v>
      </c>
      <c r="O64" s="12">
        <v>5.7290000000000001</v>
      </c>
      <c r="P64" s="12">
        <v>1.0369999999999999</v>
      </c>
      <c r="Q64" s="12">
        <v>4.641</v>
      </c>
      <c r="R64" s="13">
        <v>39.554000000000002</v>
      </c>
      <c r="S64">
        <f>GEOMEAN(R64:R75)</f>
        <v>84.925724385347834</v>
      </c>
      <c r="T64">
        <f>R64-$S$64</f>
        <v>-45.371724385347832</v>
      </c>
      <c r="U64">
        <f>AVERAGE(R64:R75)</f>
        <v>96.199916666666681</v>
      </c>
      <c r="V64">
        <f>R64-$U$64</f>
        <v>-56.645916666666679</v>
      </c>
    </row>
    <row r="65" spans="1:22" ht="15" thickBot="1" x14ac:dyDescent="0.35">
      <c r="A65" s="14" t="s">
        <v>126</v>
      </c>
      <c r="B65" s="15" t="s">
        <v>125</v>
      </c>
      <c r="C65" s="15">
        <v>110</v>
      </c>
      <c r="D65" s="15" t="s">
        <v>21</v>
      </c>
      <c r="E65" s="15" t="s">
        <v>22</v>
      </c>
      <c r="F65" s="15" t="s">
        <v>107</v>
      </c>
      <c r="G65" s="15">
        <v>110</v>
      </c>
      <c r="H65" s="15">
        <v>1</v>
      </c>
      <c r="I65" s="15" t="s">
        <v>45</v>
      </c>
      <c r="J65" s="15" t="s">
        <v>25</v>
      </c>
      <c r="K65" s="15" t="s">
        <v>46</v>
      </c>
      <c r="L65" s="15">
        <v>31.637</v>
      </c>
      <c r="M65" s="15">
        <v>6.0380000000000003</v>
      </c>
      <c r="N65" s="15">
        <v>0.63800000000000001</v>
      </c>
      <c r="O65" s="15">
        <v>6.1859999999999999</v>
      </c>
      <c r="P65" s="15">
        <v>1.093</v>
      </c>
      <c r="Q65" s="15">
        <v>4.3049999999999997</v>
      </c>
      <c r="R65" s="16">
        <v>49.896999999999998</v>
      </c>
      <c r="T65">
        <f t="shared" ref="T65:T75" si="10">R65-$S$64</f>
        <v>-35.028724385347836</v>
      </c>
      <c r="V65">
        <f t="shared" ref="V65:V75" si="11">R65-$U$64</f>
        <v>-46.302916666666682</v>
      </c>
    </row>
    <row r="66" spans="1:22" x14ac:dyDescent="0.3">
      <c r="A66" s="11" t="s">
        <v>127</v>
      </c>
      <c r="B66" s="12" t="s">
        <v>128</v>
      </c>
      <c r="C66" s="12">
        <v>119</v>
      </c>
      <c r="D66" s="12" t="s">
        <v>21</v>
      </c>
      <c r="E66" s="12" t="s">
        <v>22</v>
      </c>
      <c r="F66" s="12" t="s">
        <v>107</v>
      </c>
      <c r="G66" s="12">
        <v>107</v>
      </c>
      <c r="H66" s="12">
        <v>1</v>
      </c>
      <c r="I66" s="12" t="s">
        <v>45</v>
      </c>
      <c r="J66" s="12" t="s">
        <v>25</v>
      </c>
      <c r="K66" s="12" t="s">
        <v>46</v>
      </c>
      <c r="L66" s="12">
        <v>95.7</v>
      </c>
      <c r="M66" s="12">
        <v>14.324</v>
      </c>
      <c r="N66" s="12">
        <v>1.476</v>
      </c>
      <c r="O66" s="12">
        <v>14.305</v>
      </c>
      <c r="P66" s="12">
        <v>1.9830000000000001</v>
      </c>
      <c r="Q66" s="12">
        <v>3.7389999999999999</v>
      </c>
      <c r="R66" s="13">
        <v>131.52700000000002</v>
      </c>
      <c r="T66">
        <f t="shared" si="10"/>
        <v>46.601275614652181</v>
      </c>
      <c r="V66">
        <f t="shared" si="11"/>
        <v>35.327083333333334</v>
      </c>
    </row>
    <row r="67" spans="1:22" ht="15" thickBot="1" x14ac:dyDescent="0.35">
      <c r="A67" s="14" t="s">
        <v>129</v>
      </c>
      <c r="B67" s="15" t="s">
        <v>128</v>
      </c>
      <c r="C67" s="15">
        <v>119</v>
      </c>
      <c r="D67" s="15" t="s">
        <v>21</v>
      </c>
      <c r="E67" s="15" t="s">
        <v>22</v>
      </c>
      <c r="F67" s="15" t="s">
        <v>107</v>
      </c>
      <c r="G67" s="15">
        <v>107</v>
      </c>
      <c r="H67" s="15">
        <v>1</v>
      </c>
      <c r="I67" s="15" t="s">
        <v>45</v>
      </c>
      <c r="J67" s="15" t="s">
        <v>25</v>
      </c>
      <c r="K67" s="15" t="s">
        <v>46</v>
      </c>
      <c r="L67" s="15">
        <v>100.586</v>
      </c>
      <c r="M67" s="15">
        <v>15.188000000000001</v>
      </c>
      <c r="N67" s="15">
        <v>1.5880000000000001</v>
      </c>
      <c r="O67" s="15">
        <v>14.757999999999999</v>
      </c>
      <c r="P67" s="15">
        <v>2.3559999999999999</v>
      </c>
      <c r="Q67" s="15">
        <v>3.952</v>
      </c>
      <c r="R67" s="16">
        <v>138.428</v>
      </c>
      <c r="T67">
        <f t="shared" si="10"/>
        <v>53.502275614652163</v>
      </c>
      <c r="V67">
        <f t="shared" si="11"/>
        <v>42.228083333333316</v>
      </c>
    </row>
    <row r="68" spans="1:22" x14ac:dyDescent="0.3">
      <c r="A68" s="11" t="s">
        <v>130</v>
      </c>
      <c r="B68" s="12" t="s">
        <v>131</v>
      </c>
      <c r="C68" s="12">
        <v>216</v>
      </c>
      <c r="D68" s="12" t="s">
        <v>21</v>
      </c>
      <c r="E68" s="12" t="s">
        <v>22</v>
      </c>
      <c r="F68" s="12" t="s">
        <v>107</v>
      </c>
      <c r="G68" s="12">
        <v>123</v>
      </c>
      <c r="H68" s="12">
        <v>2</v>
      </c>
      <c r="I68" s="12" t="s">
        <v>45</v>
      </c>
      <c r="J68" s="12" t="s">
        <v>25</v>
      </c>
      <c r="K68" s="12" t="s">
        <v>46</v>
      </c>
      <c r="L68" s="12">
        <v>120.4</v>
      </c>
      <c r="M68" s="12">
        <v>16.870999999999999</v>
      </c>
      <c r="N68" s="12">
        <v>2.2090000000000001</v>
      </c>
      <c r="O68" s="12">
        <v>10.648</v>
      </c>
      <c r="P68" s="12">
        <v>2.3519999999999999</v>
      </c>
      <c r="Q68" s="12">
        <v>4.8769999999999998</v>
      </c>
      <c r="R68" s="13">
        <v>157.35700000000003</v>
      </c>
      <c r="T68">
        <f t="shared" si="10"/>
        <v>72.431275614652193</v>
      </c>
      <c r="V68">
        <f t="shared" si="11"/>
        <v>61.157083333333347</v>
      </c>
    </row>
    <row r="69" spans="1:22" ht="15" thickBot="1" x14ac:dyDescent="0.35">
      <c r="A69" s="14" t="s">
        <v>132</v>
      </c>
      <c r="B69" s="15" t="s">
        <v>131</v>
      </c>
      <c r="C69" s="15">
        <v>216</v>
      </c>
      <c r="D69" s="15" t="s">
        <v>21</v>
      </c>
      <c r="E69" s="15" t="s">
        <v>22</v>
      </c>
      <c r="F69" s="15" t="s">
        <v>107</v>
      </c>
      <c r="G69" s="15">
        <v>123</v>
      </c>
      <c r="H69" s="15">
        <v>2</v>
      </c>
      <c r="I69" s="15" t="s">
        <v>45</v>
      </c>
      <c r="J69" s="15" t="s">
        <v>25</v>
      </c>
      <c r="K69" s="15" t="s">
        <v>46</v>
      </c>
      <c r="L69" s="15">
        <v>104.133</v>
      </c>
      <c r="M69" s="15">
        <v>13.167</v>
      </c>
      <c r="N69" s="15">
        <v>1.6120000000000001</v>
      </c>
      <c r="O69" s="15">
        <v>8.5969999999999995</v>
      </c>
      <c r="P69" s="15">
        <v>2.302</v>
      </c>
      <c r="Q69" s="15">
        <v>3.9060000000000001</v>
      </c>
      <c r="R69" s="16">
        <v>133.71699999999998</v>
      </c>
      <c r="T69">
        <f t="shared" si="10"/>
        <v>48.79127561465215</v>
      </c>
      <c r="V69">
        <f t="shared" si="11"/>
        <v>37.517083333333304</v>
      </c>
    </row>
    <row r="70" spans="1:22" x14ac:dyDescent="0.3">
      <c r="A70" s="11" t="s">
        <v>133</v>
      </c>
      <c r="B70" s="12" t="s">
        <v>134</v>
      </c>
      <c r="C70" s="12">
        <v>219</v>
      </c>
      <c r="D70" s="12" t="s">
        <v>21</v>
      </c>
      <c r="E70" s="12" t="s">
        <v>22</v>
      </c>
      <c r="F70" s="12" t="s">
        <v>107</v>
      </c>
      <c r="G70" s="12">
        <v>121</v>
      </c>
      <c r="H70" s="12">
        <v>2</v>
      </c>
      <c r="I70" s="12" t="s">
        <v>45</v>
      </c>
      <c r="J70" s="12" t="s">
        <v>25</v>
      </c>
      <c r="K70" s="12" t="s">
        <v>46</v>
      </c>
      <c r="L70" s="12">
        <v>24.614999999999998</v>
      </c>
      <c r="M70" s="12">
        <v>6.0170000000000003</v>
      </c>
      <c r="N70" s="12">
        <v>0.97599999999999998</v>
      </c>
      <c r="O70" s="12">
        <v>5.2610000000000001</v>
      </c>
      <c r="P70" s="12">
        <v>0.99299999999999999</v>
      </c>
      <c r="Q70" s="12">
        <v>5.1459999999999999</v>
      </c>
      <c r="R70" s="13">
        <v>43.008000000000003</v>
      </c>
      <c r="T70">
        <f t="shared" si="10"/>
        <v>-41.917724385347832</v>
      </c>
      <c r="V70">
        <f t="shared" si="11"/>
        <v>-53.191916666666678</v>
      </c>
    </row>
    <row r="71" spans="1:22" ht="15" thickBot="1" x14ac:dyDescent="0.35">
      <c r="A71" s="14" t="s">
        <v>135</v>
      </c>
      <c r="B71" s="15" t="s">
        <v>134</v>
      </c>
      <c r="C71" s="15">
        <v>219</v>
      </c>
      <c r="D71" s="15" t="s">
        <v>21</v>
      </c>
      <c r="E71" s="15" t="s">
        <v>22</v>
      </c>
      <c r="F71" s="15" t="s">
        <v>107</v>
      </c>
      <c r="G71" s="15">
        <v>121</v>
      </c>
      <c r="H71" s="15">
        <v>2</v>
      </c>
      <c r="I71" s="15" t="s">
        <v>45</v>
      </c>
      <c r="J71" s="15" t="s">
        <v>25</v>
      </c>
      <c r="K71" s="15" t="s">
        <v>46</v>
      </c>
      <c r="L71" s="15">
        <v>45.145000000000003</v>
      </c>
      <c r="M71" s="15">
        <v>8.3789999999999996</v>
      </c>
      <c r="N71" s="15">
        <v>1.0589999999999999</v>
      </c>
      <c r="O71" s="15">
        <v>6.7850000000000001</v>
      </c>
      <c r="P71" s="15">
        <v>2.1019999999999999</v>
      </c>
      <c r="Q71" s="15">
        <v>6.4219999999999997</v>
      </c>
      <c r="R71" s="16">
        <v>69.891999999999996</v>
      </c>
      <c r="T71">
        <f t="shared" si="10"/>
        <v>-15.033724385347838</v>
      </c>
      <c r="V71">
        <f t="shared" si="11"/>
        <v>-26.307916666666685</v>
      </c>
    </row>
    <row r="72" spans="1:22" x14ac:dyDescent="0.3">
      <c r="A72" s="11" t="s">
        <v>136</v>
      </c>
      <c r="B72" s="12" t="s">
        <v>137</v>
      </c>
      <c r="C72" s="12">
        <v>308</v>
      </c>
      <c r="D72" s="12" t="s">
        <v>21</v>
      </c>
      <c r="E72" s="12" t="s">
        <v>22</v>
      </c>
      <c r="F72" s="12" t="s">
        <v>107</v>
      </c>
      <c r="G72" s="12">
        <v>125</v>
      </c>
      <c r="H72" s="12">
        <v>3</v>
      </c>
      <c r="I72" s="12" t="s">
        <v>45</v>
      </c>
      <c r="J72" s="12" t="s">
        <v>25</v>
      </c>
      <c r="K72" s="12" t="s">
        <v>46</v>
      </c>
      <c r="L72" s="12">
        <v>111.875</v>
      </c>
      <c r="M72" s="12">
        <v>15.22</v>
      </c>
      <c r="N72" s="12">
        <v>1.5660000000000001</v>
      </c>
      <c r="O72" s="12">
        <v>10.385999999999999</v>
      </c>
      <c r="P72" s="12">
        <v>2.1579999999999999</v>
      </c>
      <c r="Q72" s="12">
        <v>2.972</v>
      </c>
      <c r="R72" s="13">
        <v>144.17699999999999</v>
      </c>
      <c r="T72">
        <f t="shared" si="10"/>
        <v>59.251275614652158</v>
      </c>
      <c r="V72">
        <f t="shared" si="11"/>
        <v>47.977083333333312</v>
      </c>
    </row>
    <row r="73" spans="1:22" ht="15" thickBot="1" x14ac:dyDescent="0.35">
      <c r="A73" s="14" t="s">
        <v>138</v>
      </c>
      <c r="B73" s="15" t="s">
        <v>137</v>
      </c>
      <c r="C73" s="15">
        <v>308</v>
      </c>
      <c r="D73" s="15" t="s">
        <v>21</v>
      </c>
      <c r="E73" s="15" t="s">
        <v>22</v>
      </c>
      <c r="F73" s="15" t="s">
        <v>107</v>
      </c>
      <c r="G73" s="15">
        <v>125</v>
      </c>
      <c r="H73" s="15">
        <v>3</v>
      </c>
      <c r="I73" s="15" t="s">
        <v>45</v>
      </c>
      <c r="J73" s="15" t="s">
        <v>25</v>
      </c>
      <c r="K73" s="15" t="s">
        <v>46</v>
      </c>
      <c r="L73" s="15">
        <v>102.964</v>
      </c>
      <c r="M73" s="15">
        <v>14.271000000000001</v>
      </c>
      <c r="N73" s="15">
        <v>1.5049999999999999</v>
      </c>
      <c r="O73" s="15">
        <v>9.4380000000000006</v>
      </c>
      <c r="P73" s="15">
        <v>2.1349999999999998</v>
      </c>
      <c r="Q73" s="15">
        <v>2.601</v>
      </c>
      <c r="R73" s="16">
        <v>132.91399999999999</v>
      </c>
      <c r="T73">
        <f t="shared" si="10"/>
        <v>47.988275614652153</v>
      </c>
      <c r="V73">
        <f t="shared" si="11"/>
        <v>36.714083333333306</v>
      </c>
    </row>
    <row r="74" spans="1:22" x14ac:dyDescent="0.3">
      <c r="A74" s="11" t="s">
        <v>139</v>
      </c>
      <c r="B74" s="12" t="s">
        <v>140</v>
      </c>
      <c r="C74" s="12">
        <v>422</v>
      </c>
      <c r="D74" s="12" t="s">
        <v>21</v>
      </c>
      <c r="E74" s="12" t="s">
        <v>22</v>
      </c>
      <c r="F74" s="12" t="s">
        <v>107</v>
      </c>
      <c r="G74" s="12">
        <v>126</v>
      </c>
      <c r="H74" s="12">
        <v>4</v>
      </c>
      <c r="I74" s="12" t="s">
        <v>45</v>
      </c>
      <c r="J74" s="12" t="s">
        <v>25</v>
      </c>
      <c r="K74" s="12" t="s">
        <v>46</v>
      </c>
      <c r="L74" s="12">
        <v>28.308</v>
      </c>
      <c r="M74" s="12">
        <v>8.407</v>
      </c>
      <c r="N74" s="12">
        <v>1.3720000000000001</v>
      </c>
      <c r="O74" s="12">
        <v>7.3159999999999998</v>
      </c>
      <c r="P74" s="12">
        <v>1.3680000000000001</v>
      </c>
      <c r="Q74" s="12">
        <v>6.5810000000000004</v>
      </c>
      <c r="R74" s="13">
        <v>53.352000000000011</v>
      </c>
      <c r="T74">
        <f t="shared" si="10"/>
        <v>-31.573724385347823</v>
      </c>
      <c r="V74">
        <f t="shared" si="11"/>
        <v>-42.84791666666667</v>
      </c>
    </row>
    <row r="75" spans="1:22" ht="15" thickBot="1" x14ac:dyDescent="0.35">
      <c r="A75" s="14" t="s">
        <v>141</v>
      </c>
      <c r="B75" s="15" t="s">
        <v>140</v>
      </c>
      <c r="C75" s="15">
        <v>422</v>
      </c>
      <c r="D75" s="15" t="s">
        <v>21</v>
      </c>
      <c r="E75" s="15" t="s">
        <v>22</v>
      </c>
      <c r="F75" s="15" t="s">
        <v>107</v>
      </c>
      <c r="G75" s="15">
        <v>126</v>
      </c>
      <c r="H75" s="15">
        <v>4</v>
      </c>
      <c r="I75" s="15" t="s">
        <v>45</v>
      </c>
      <c r="J75" s="15" t="s">
        <v>25</v>
      </c>
      <c r="K75" s="15" t="s">
        <v>46</v>
      </c>
      <c r="L75" s="15">
        <v>35.825000000000003</v>
      </c>
      <c r="M75" s="15">
        <v>8.0630000000000006</v>
      </c>
      <c r="N75" s="15">
        <v>1.181</v>
      </c>
      <c r="O75" s="15">
        <v>6.6109999999999998</v>
      </c>
      <c r="P75" s="15">
        <v>1.903</v>
      </c>
      <c r="Q75" s="15">
        <v>6.9930000000000003</v>
      </c>
      <c r="R75" s="16">
        <v>60.576000000000001</v>
      </c>
      <c r="T75">
        <f t="shared" si="10"/>
        <v>-24.349724385347834</v>
      </c>
      <c r="V75">
        <f t="shared" si="11"/>
        <v>-35.62391666666668</v>
      </c>
    </row>
    <row r="76" spans="1:22" x14ac:dyDescent="0.3">
      <c r="A76" s="17" t="s">
        <v>142</v>
      </c>
      <c r="B76" s="18" t="s">
        <v>143</v>
      </c>
      <c r="C76" s="18">
        <v>126</v>
      </c>
      <c r="D76" s="18" t="s">
        <v>21</v>
      </c>
      <c r="E76" s="18" t="s">
        <v>22</v>
      </c>
      <c r="F76" s="18" t="s">
        <v>107</v>
      </c>
      <c r="G76" s="18">
        <v>106</v>
      </c>
      <c r="H76" s="18">
        <v>1</v>
      </c>
      <c r="I76" s="18" t="s">
        <v>45</v>
      </c>
      <c r="J76" s="18" t="s">
        <v>65</v>
      </c>
      <c r="K76" s="18" t="s">
        <v>66</v>
      </c>
      <c r="L76" s="18">
        <v>31.103000000000002</v>
      </c>
      <c r="M76" s="18">
        <v>6.5030000000000001</v>
      </c>
      <c r="N76" s="18">
        <v>1.101</v>
      </c>
      <c r="O76" s="18">
        <v>7.2779999999999996</v>
      </c>
      <c r="P76" s="18">
        <v>1.1599999999999999</v>
      </c>
      <c r="Q76" s="18">
        <v>5.4589999999999996</v>
      </c>
      <c r="R76" s="19">
        <v>52.603999999999999</v>
      </c>
      <c r="S76">
        <f>GEOMEAN(R76:R85,R88:R89)</f>
        <v>109.9145205839182</v>
      </c>
      <c r="T76">
        <f>R76-$S$76</f>
        <v>-57.310520583918205</v>
      </c>
      <c r="U76">
        <f>AVERAGE(R76:R85,R88:R89)</f>
        <v>127.23933333333332</v>
      </c>
      <c r="V76">
        <f>R76-$U$76</f>
        <v>-74.635333333333321</v>
      </c>
    </row>
    <row r="77" spans="1:22" ht="15" thickBot="1" x14ac:dyDescent="0.35">
      <c r="A77" s="20" t="s">
        <v>144</v>
      </c>
      <c r="B77" s="21" t="s">
        <v>143</v>
      </c>
      <c r="C77" s="21">
        <v>126</v>
      </c>
      <c r="D77" s="21" t="s">
        <v>21</v>
      </c>
      <c r="E77" s="21" t="s">
        <v>22</v>
      </c>
      <c r="F77" s="21" t="s">
        <v>107</v>
      </c>
      <c r="G77" s="21">
        <v>106</v>
      </c>
      <c r="H77" s="21">
        <v>1</v>
      </c>
      <c r="I77" s="21" t="s">
        <v>45</v>
      </c>
      <c r="J77" s="21" t="s">
        <v>65</v>
      </c>
      <c r="K77" s="21" t="s">
        <v>66</v>
      </c>
      <c r="L77" s="21">
        <v>39.69</v>
      </c>
      <c r="M77" s="21">
        <v>6.7210000000000001</v>
      </c>
      <c r="N77" s="21">
        <v>0.79800000000000004</v>
      </c>
      <c r="O77" s="21">
        <v>6.274</v>
      </c>
      <c r="P77" s="21">
        <v>1.0269999999999999</v>
      </c>
      <c r="Q77" s="21">
        <v>5</v>
      </c>
      <c r="R77" s="22">
        <v>59.510000000000005</v>
      </c>
      <c r="T77">
        <f t="shared" ref="T77:T89" si="12">R77-$S$76</f>
        <v>-50.404520583918199</v>
      </c>
      <c r="V77">
        <f t="shared" ref="V77:V89" si="13">R77-$U$76</f>
        <v>-67.729333333333315</v>
      </c>
    </row>
    <row r="78" spans="1:22" x14ac:dyDescent="0.3">
      <c r="A78" s="17" t="s">
        <v>145</v>
      </c>
      <c r="B78" s="18" t="s">
        <v>146</v>
      </c>
      <c r="C78" s="18">
        <v>228</v>
      </c>
      <c r="D78" s="18" t="s">
        <v>21</v>
      </c>
      <c r="E78" s="18" t="s">
        <v>22</v>
      </c>
      <c r="F78" s="18" t="s">
        <v>107</v>
      </c>
      <c r="G78" s="18">
        <v>124</v>
      </c>
      <c r="H78" s="18">
        <v>2</v>
      </c>
      <c r="I78" s="18" t="s">
        <v>45</v>
      </c>
      <c r="J78" s="18" t="s">
        <v>65</v>
      </c>
      <c r="K78" s="18" t="s">
        <v>66</v>
      </c>
      <c r="L78" s="18">
        <v>179.05</v>
      </c>
      <c r="M78" s="18">
        <v>25.914999999999999</v>
      </c>
      <c r="N78" s="18">
        <v>1.7649999999999999</v>
      </c>
      <c r="O78" s="18">
        <v>18.445</v>
      </c>
      <c r="P78" s="18">
        <v>1.627</v>
      </c>
      <c r="Q78" s="18">
        <v>2.2149999999999999</v>
      </c>
      <c r="R78" s="19">
        <v>229.017</v>
      </c>
      <c r="T78">
        <f t="shared" si="12"/>
        <v>119.10247941608179</v>
      </c>
      <c r="V78">
        <f t="shared" si="13"/>
        <v>101.77766666666668</v>
      </c>
    </row>
    <row r="79" spans="1:22" ht="15" thickBot="1" x14ac:dyDescent="0.35">
      <c r="A79" s="20" t="s">
        <v>147</v>
      </c>
      <c r="B79" s="21" t="s">
        <v>146</v>
      </c>
      <c r="C79" s="21">
        <v>228</v>
      </c>
      <c r="D79" s="21" t="s">
        <v>21</v>
      </c>
      <c r="E79" s="21" t="s">
        <v>22</v>
      </c>
      <c r="F79" s="21" t="s">
        <v>107</v>
      </c>
      <c r="G79" s="21">
        <v>124</v>
      </c>
      <c r="H79" s="21">
        <v>2</v>
      </c>
      <c r="I79" s="21" t="s">
        <v>45</v>
      </c>
      <c r="J79" s="21" t="s">
        <v>65</v>
      </c>
      <c r="K79" s="21" t="s">
        <v>66</v>
      </c>
      <c r="L79" s="21">
        <v>166.184</v>
      </c>
      <c r="M79" s="21">
        <v>22.187999999999999</v>
      </c>
      <c r="N79" s="21">
        <v>1.3660000000000001</v>
      </c>
      <c r="O79" s="21">
        <v>15.593</v>
      </c>
      <c r="P79" s="21">
        <v>1.671</v>
      </c>
      <c r="Q79" s="21">
        <v>1.881</v>
      </c>
      <c r="R79" s="22">
        <v>208.88299999999998</v>
      </c>
      <c r="T79">
        <f t="shared" si="12"/>
        <v>98.968479416081777</v>
      </c>
      <c r="V79">
        <f t="shared" si="13"/>
        <v>81.643666666666661</v>
      </c>
    </row>
    <row r="80" spans="1:22" x14ac:dyDescent="0.3">
      <c r="A80" s="17" t="s">
        <v>148</v>
      </c>
      <c r="B80" s="18" t="s">
        <v>149</v>
      </c>
      <c r="C80" s="18">
        <v>234</v>
      </c>
      <c r="D80" s="18" t="s">
        <v>21</v>
      </c>
      <c r="E80" s="18" t="s">
        <v>22</v>
      </c>
      <c r="F80" s="18" t="s">
        <v>107</v>
      </c>
      <c r="G80" s="18">
        <v>119</v>
      </c>
      <c r="H80" s="18">
        <v>2</v>
      </c>
      <c r="I80" s="18" t="s">
        <v>45</v>
      </c>
      <c r="J80" s="18" t="s">
        <v>65</v>
      </c>
      <c r="K80" s="18" t="s">
        <v>66</v>
      </c>
      <c r="L80" s="18">
        <v>21.640999999999998</v>
      </c>
      <c r="M80" s="18">
        <v>5.5279999999999996</v>
      </c>
      <c r="N80" s="18">
        <v>0.89900000000000002</v>
      </c>
      <c r="O80" s="18">
        <v>5.1820000000000004</v>
      </c>
      <c r="P80" s="18">
        <v>1.0940000000000001</v>
      </c>
      <c r="Q80" s="18">
        <v>4.4020000000000001</v>
      </c>
      <c r="R80" s="19">
        <v>38.746000000000002</v>
      </c>
      <c r="T80">
        <f t="shared" si="12"/>
        <v>-71.168520583918195</v>
      </c>
      <c r="V80">
        <f t="shared" si="13"/>
        <v>-88.493333333333311</v>
      </c>
    </row>
    <row r="81" spans="1:22" ht="15" thickBot="1" x14ac:dyDescent="0.35">
      <c r="A81" s="20" t="s">
        <v>150</v>
      </c>
      <c r="B81" s="21" t="s">
        <v>149</v>
      </c>
      <c r="C81" s="21">
        <v>234</v>
      </c>
      <c r="D81" s="21" t="s">
        <v>21</v>
      </c>
      <c r="E81" s="21" t="s">
        <v>22</v>
      </c>
      <c r="F81" s="21" t="s">
        <v>107</v>
      </c>
      <c r="G81" s="21">
        <v>119</v>
      </c>
      <c r="H81" s="21">
        <v>2</v>
      </c>
      <c r="I81" s="21" t="s">
        <v>45</v>
      </c>
      <c r="J81" s="21" t="s">
        <v>65</v>
      </c>
      <c r="K81" s="21" t="s">
        <v>66</v>
      </c>
      <c r="L81" s="21">
        <v>53.673000000000002</v>
      </c>
      <c r="M81" s="21">
        <v>8.99</v>
      </c>
      <c r="N81" s="21">
        <v>1.3280000000000001</v>
      </c>
      <c r="O81" s="21">
        <v>8.4149999999999991</v>
      </c>
      <c r="P81" s="21">
        <v>1.1479999999999999</v>
      </c>
      <c r="Q81" s="21">
        <v>7.7380000000000004</v>
      </c>
      <c r="R81" s="22">
        <v>81.292000000000002</v>
      </c>
      <c r="T81">
        <f t="shared" si="12"/>
        <v>-28.622520583918202</v>
      </c>
      <c r="V81">
        <f t="shared" si="13"/>
        <v>-45.947333333333319</v>
      </c>
    </row>
    <row r="82" spans="1:22" x14ac:dyDescent="0.3">
      <c r="A82" s="17" t="s">
        <v>151</v>
      </c>
      <c r="B82" s="18" t="s">
        <v>152</v>
      </c>
      <c r="C82" s="18">
        <v>241</v>
      </c>
      <c r="D82" s="18" t="s">
        <v>21</v>
      </c>
      <c r="E82" s="18" t="s">
        <v>22</v>
      </c>
      <c r="F82" s="18" t="s">
        <v>107</v>
      </c>
      <c r="G82" s="18">
        <v>128</v>
      </c>
      <c r="H82" s="18">
        <v>2</v>
      </c>
      <c r="I82" s="18" t="s">
        <v>45</v>
      </c>
      <c r="J82" s="18" t="s">
        <v>65</v>
      </c>
      <c r="K82" s="18" t="s">
        <v>66</v>
      </c>
      <c r="L82" s="18">
        <v>91.881</v>
      </c>
      <c r="M82" s="18">
        <v>10.236000000000001</v>
      </c>
      <c r="N82" s="18">
        <v>1.157</v>
      </c>
      <c r="O82" s="18">
        <v>4.085</v>
      </c>
      <c r="P82" s="18">
        <v>1.4650000000000001</v>
      </c>
      <c r="Q82" s="18">
        <v>1.4450000000000001</v>
      </c>
      <c r="R82" s="19">
        <v>110.26899999999999</v>
      </c>
      <c r="T82">
        <f t="shared" si="12"/>
        <v>0.35447941608178724</v>
      </c>
      <c r="V82">
        <f t="shared" si="13"/>
        <v>-16.970333333333329</v>
      </c>
    </row>
    <row r="83" spans="1:22" ht="15" thickBot="1" x14ac:dyDescent="0.35">
      <c r="A83" s="20" t="s">
        <v>153</v>
      </c>
      <c r="B83" s="21" t="s">
        <v>152</v>
      </c>
      <c r="C83" s="21">
        <v>241</v>
      </c>
      <c r="D83" s="21" t="s">
        <v>21</v>
      </c>
      <c r="E83" s="21" t="s">
        <v>22</v>
      </c>
      <c r="F83" s="21" t="s">
        <v>107</v>
      </c>
      <c r="G83" s="21">
        <v>128</v>
      </c>
      <c r="H83" s="21">
        <v>2</v>
      </c>
      <c r="I83" s="21" t="s">
        <v>45</v>
      </c>
      <c r="J83" s="21" t="s">
        <v>65</v>
      </c>
      <c r="K83" s="21" t="s">
        <v>66</v>
      </c>
      <c r="L83" s="21">
        <v>91.096000000000004</v>
      </c>
      <c r="M83" s="21">
        <v>10.006</v>
      </c>
      <c r="N83" s="21">
        <v>1.155</v>
      </c>
      <c r="O83" s="21">
        <v>3.9039999999999999</v>
      </c>
      <c r="P83" s="21">
        <v>1.506</v>
      </c>
      <c r="Q83" s="21">
        <v>1.3380000000000001</v>
      </c>
      <c r="R83" s="22">
        <v>109.005</v>
      </c>
      <c r="T83">
        <f t="shared" si="12"/>
        <v>-0.90952058391820856</v>
      </c>
      <c r="V83">
        <f t="shared" si="13"/>
        <v>-18.234333333333325</v>
      </c>
    </row>
    <row r="84" spans="1:22" x14ac:dyDescent="0.3">
      <c r="A84" s="17" t="s">
        <v>154</v>
      </c>
      <c r="B84" s="18" t="s">
        <v>155</v>
      </c>
      <c r="C84" s="18">
        <v>243</v>
      </c>
      <c r="D84" s="18" t="s">
        <v>21</v>
      </c>
      <c r="E84" s="18" t="s">
        <v>22</v>
      </c>
      <c r="F84" s="18" t="s">
        <v>107</v>
      </c>
      <c r="G84" s="18">
        <v>128</v>
      </c>
      <c r="H84" s="18">
        <v>2</v>
      </c>
      <c r="I84" s="18" t="s">
        <v>45</v>
      </c>
      <c r="J84" s="18" t="s">
        <v>65</v>
      </c>
      <c r="K84" s="18" t="s">
        <v>66</v>
      </c>
      <c r="L84" s="18">
        <v>122.57599999999999</v>
      </c>
      <c r="M84" s="18">
        <v>22.672000000000001</v>
      </c>
      <c r="N84" s="18">
        <v>3.6259999999999999</v>
      </c>
      <c r="O84" s="18">
        <v>15.71</v>
      </c>
      <c r="P84" s="18">
        <v>4.2439999999999998</v>
      </c>
      <c r="Q84" s="18">
        <v>11.749000000000001</v>
      </c>
      <c r="R84" s="19">
        <v>180.577</v>
      </c>
      <c r="T84">
        <f t="shared" si="12"/>
        <v>70.662479416081794</v>
      </c>
      <c r="V84">
        <f t="shared" si="13"/>
        <v>53.337666666666678</v>
      </c>
    </row>
    <row r="85" spans="1:22" ht="15" thickBot="1" x14ac:dyDescent="0.35">
      <c r="A85" s="20" t="s">
        <v>156</v>
      </c>
      <c r="B85" s="21" t="s">
        <v>155</v>
      </c>
      <c r="C85" s="21">
        <v>243</v>
      </c>
      <c r="D85" s="21" t="s">
        <v>21</v>
      </c>
      <c r="E85" s="21" t="s">
        <v>22</v>
      </c>
      <c r="F85" s="21" t="s">
        <v>107</v>
      </c>
      <c r="G85" s="21">
        <v>128</v>
      </c>
      <c r="H85" s="21">
        <v>2</v>
      </c>
      <c r="I85" s="21" t="s">
        <v>45</v>
      </c>
      <c r="J85" s="21" t="s">
        <v>65</v>
      </c>
      <c r="K85" s="21" t="s">
        <v>66</v>
      </c>
      <c r="L85" s="21">
        <v>147.029</v>
      </c>
      <c r="M85" s="21">
        <v>22.786000000000001</v>
      </c>
      <c r="N85" s="21">
        <v>2.6320000000000001</v>
      </c>
      <c r="O85" s="21">
        <v>13.531000000000001</v>
      </c>
      <c r="P85" s="21">
        <v>3.286</v>
      </c>
      <c r="Q85" s="21">
        <v>7.851</v>
      </c>
      <c r="R85" s="22">
        <v>197.11500000000001</v>
      </c>
      <c r="T85">
        <f t="shared" si="12"/>
        <v>87.200479416081805</v>
      </c>
      <c r="V85">
        <f t="shared" si="13"/>
        <v>69.875666666666689</v>
      </c>
    </row>
    <row r="86" spans="1:22" x14ac:dyDescent="0.3">
      <c r="A86" s="32" t="s">
        <v>157</v>
      </c>
      <c r="B86" s="33" t="s">
        <v>158</v>
      </c>
      <c r="C86" s="33">
        <v>312</v>
      </c>
      <c r="D86" s="33" t="s">
        <v>21</v>
      </c>
      <c r="E86" s="33" t="s">
        <v>22</v>
      </c>
      <c r="F86" s="33" t="s">
        <v>107</v>
      </c>
      <c r="G86" s="33">
        <v>114</v>
      </c>
      <c r="H86" s="33">
        <v>3</v>
      </c>
      <c r="I86" s="33" t="s">
        <v>45</v>
      </c>
      <c r="J86" s="33" t="s">
        <v>65</v>
      </c>
      <c r="K86" s="33" t="s">
        <v>66</v>
      </c>
      <c r="L86" s="33">
        <v>2.6949999999999998</v>
      </c>
      <c r="M86" s="33">
        <v>0.76500000000000001</v>
      </c>
      <c r="N86" s="33">
        <v>6.9000000000000006E-2</v>
      </c>
      <c r="O86" s="33">
        <v>0.70399999999999996</v>
      </c>
      <c r="P86" s="33">
        <v>7.5999999999999998E-2</v>
      </c>
      <c r="Q86" s="33">
        <v>0.248</v>
      </c>
      <c r="R86" s="34">
        <v>4.5569999999999995</v>
      </c>
      <c r="T86">
        <f t="shared" si="12"/>
        <v>-105.3575205839182</v>
      </c>
      <c r="V86">
        <f t="shared" si="13"/>
        <v>-122.68233333333332</v>
      </c>
    </row>
    <row r="87" spans="1:22" ht="15" thickBot="1" x14ac:dyDescent="0.35">
      <c r="A87" s="23" t="s">
        <v>159</v>
      </c>
      <c r="B87" s="24" t="s">
        <v>158</v>
      </c>
      <c r="C87" s="24">
        <v>312</v>
      </c>
      <c r="D87" s="24" t="s">
        <v>21</v>
      </c>
      <c r="E87" s="24" t="s">
        <v>22</v>
      </c>
      <c r="F87" s="24" t="s">
        <v>107</v>
      </c>
      <c r="G87" s="24">
        <v>114</v>
      </c>
      <c r="H87" s="24">
        <v>3</v>
      </c>
      <c r="I87" s="24" t="s">
        <v>45</v>
      </c>
      <c r="J87" s="24" t="s">
        <v>65</v>
      </c>
      <c r="K87" s="24" t="s">
        <v>66</v>
      </c>
      <c r="L87" s="24">
        <v>2.609</v>
      </c>
      <c r="M87" s="24">
        <v>0.79400000000000004</v>
      </c>
      <c r="N87" s="24"/>
      <c r="O87" s="24">
        <v>0.70099999999999996</v>
      </c>
      <c r="P87" s="24">
        <v>9.0999999999999998E-2</v>
      </c>
      <c r="Q87" s="24">
        <v>0.246</v>
      </c>
      <c r="R87" s="25">
        <v>4.4410000000000007</v>
      </c>
      <c r="T87">
        <f t="shared" si="12"/>
        <v>-105.4735205839182</v>
      </c>
      <c r="V87">
        <f t="shared" si="13"/>
        <v>-122.79833333333332</v>
      </c>
    </row>
    <row r="88" spans="1:22" x14ac:dyDescent="0.3">
      <c r="A88" s="17" t="s">
        <v>160</v>
      </c>
      <c r="B88" s="18" t="s">
        <v>161</v>
      </c>
      <c r="C88" s="18">
        <v>315</v>
      </c>
      <c r="D88" s="18" t="s">
        <v>21</v>
      </c>
      <c r="E88" s="18" t="s">
        <v>22</v>
      </c>
      <c r="F88" s="18" t="s">
        <v>107</v>
      </c>
      <c r="G88" s="18">
        <v>114</v>
      </c>
      <c r="H88" s="18">
        <v>3</v>
      </c>
      <c r="I88" s="18" t="s">
        <v>45</v>
      </c>
      <c r="J88" s="18" t="s">
        <v>65</v>
      </c>
      <c r="K88" s="18" t="s">
        <v>66</v>
      </c>
      <c r="L88" s="18">
        <v>132.75299999999999</v>
      </c>
      <c r="M88" s="18">
        <v>17.271000000000001</v>
      </c>
      <c r="N88" s="18">
        <v>1.4159999999999999</v>
      </c>
      <c r="O88" s="18">
        <v>10.855</v>
      </c>
      <c r="P88" s="18">
        <v>1.7769999999999999</v>
      </c>
      <c r="Q88" s="18">
        <v>4.2450000000000001</v>
      </c>
      <c r="R88" s="19">
        <v>168.31699999999998</v>
      </c>
      <c r="T88">
        <f t="shared" si="12"/>
        <v>58.402479416081775</v>
      </c>
      <c r="V88">
        <f t="shared" si="13"/>
        <v>41.077666666666659</v>
      </c>
    </row>
    <row r="89" spans="1:22" ht="15" thickBot="1" x14ac:dyDescent="0.35">
      <c r="A89" s="20" t="s">
        <v>162</v>
      </c>
      <c r="B89" s="21" t="s">
        <v>161</v>
      </c>
      <c r="C89" s="21">
        <v>315</v>
      </c>
      <c r="D89" s="21" t="s">
        <v>21</v>
      </c>
      <c r="E89" s="21" t="s">
        <v>22</v>
      </c>
      <c r="F89" s="21" t="s">
        <v>107</v>
      </c>
      <c r="G89" s="21">
        <v>114</v>
      </c>
      <c r="H89" s="21">
        <v>3</v>
      </c>
      <c r="I89" s="21" t="s">
        <v>45</v>
      </c>
      <c r="J89" s="21" t="s">
        <v>65</v>
      </c>
      <c r="K89" s="21" t="s">
        <v>66</v>
      </c>
      <c r="L89" s="21">
        <v>74.891000000000005</v>
      </c>
      <c r="M89" s="21">
        <v>8.6229999999999993</v>
      </c>
      <c r="N89" s="21">
        <v>0.58799999999999997</v>
      </c>
      <c r="O89" s="21">
        <v>5.2510000000000003</v>
      </c>
      <c r="P89" s="21">
        <v>0.997</v>
      </c>
      <c r="Q89" s="21">
        <v>1.1870000000000001</v>
      </c>
      <c r="R89" s="22">
        <v>91.537000000000006</v>
      </c>
      <c r="T89">
        <f t="shared" si="12"/>
        <v>-18.377520583918198</v>
      </c>
      <c r="V89">
        <f t="shared" si="13"/>
        <v>-35.702333333333314</v>
      </c>
    </row>
    <row r="90" spans="1:22" x14ac:dyDescent="0.3">
      <c r="A90" s="35" t="s">
        <v>163</v>
      </c>
      <c r="B90" s="36" t="s">
        <v>164</v>
      </c>
      <c r="C90" s="36">
        <v>133</v>
      </c>
      <c r="D90" s="36" t="s">
        <v>21</v>
      </c>
      <c r="E90" s="36" t="s">
        <v>22</v>
      </c>
      <c r="F90" s="36" t="s">
        <v>107</v>
      </c>
      <c r="G90" s="36">
        <v>115</v>
      </c>
      <c r="H90" s="36">
        <v>1</v>
      </c>
      <c r="I90" s="36" t="s">
        <v>45</v>
      </c>
      <c r="J90" s="36">
        <v>1472</v>
      </c>
      <c r="K90" s="36" t="s">
        <v>85</v>
      </c>
      <c r="L90" s="36">
        <v>2.8159999999999998</v>
      </c>
      <c r="M90" s="36">
        <v>0.47599999999999998</v>
      </c>
      <c r="N90" s="36">
        <v>5.3999999999999999E-2</v>
      </c>
      <c r="O90" s="36">
        <v>0.36299999999999999</v>
      </c>
      <c r="P90" s="36">
        <v>8.5999999999999993E-2</v>
      </c>
      <c r="Q90" s="36">
        <v>0.23599999999999999</v>
      </c>
      <c r="R90" s="37">
        <v>4.0309999999999997</v>
      </c>
      <c r="S90">
        <f>GEOMEAN(R92:R101)</f>
        <v>140.92520270732049</v>
      </c>
      <c r="T90">
        <f t="shared" ref="T90:T101" si="14">R90-$S$90</f>
        <v>-136.89420270732049</v>
      </c>
      <c r="U90">
        <f>AVERAGE(R92:R101)</f>
        <v>142.22970000000001</v>
      </c>
      <c r="V90">
        <f>R90-$U$90</f>
        <v>-138.1987</v>
      </c>
    </row>
    <row r="91" spans="1:22" ht="15" thickBot="1" x14ac:dyDescent="0.35">
      <c r="A91" s="38" t="s">
        <v>165</v>
      </c>
      <c r="B91" s="39" t="s">
        <v>164</v>
      </c>
      <c r="C91" s="39">
        <v>133</v>
      </c>
      <c r="D91" s="39" t="s">
        <v>21</v>
      </c>
      <c r="E91" s="39" t="s">
        <v>22</v>
      </c>
      <c r="F91" s="39" t="s">
        <v>107</v>
      </c>
      <c r="G91" s="39">
        <v>115</v>
      </c>
      <c r="H91" s="39">
        <v>1</v>
      </c>
      <c r="I91" s="39" t="s">
        <v>45</v>
      </c>
      <c r="J91" s="39">
        <v>1472</v>
      </c>
      <c r="K91" s="39" t="s">
        <v>85</v>
      </c>
      <c r="L91" s="39">
        <v>2.363</v>
      </c>
      <c r="M91" s="39">
        <v>0.42699999999999999</v>
      </c>
      <c r="N91" s="39">
        <v>0.05</v>
      </c>
      <c r="O91" s="39">
        <v>0.34599999999999997</v>
      </c>
      <c r="P91" s="39">
        <v>8.6999999999999994E-2</v>
      </c>
      <c r="Q91" s="39">
        <v>0.22800000000000001</v>
      </c>
      <c r="R91" s="40">
        <v>3.5010000000000003</v>
      </c>
      <c r="T91">
        <f t="shared" si="14"/>
        <v>-137.42420270732049</v>
      </c>
      <c r="V91">
        <f t="shared" ref="V91:V101" si="15">R91-$U$90</f>
        <v>-138.7287</v>
      </c>
    </row>
    <row r="92" spans="1:22" x14ac:dyDescent="0.3">
      <c r="A92" s="26" t="s">
        <v>166</v>
      </c>
      <c r="B92" s="27" t="s">
        <v>167</v>
      </c>
      <c r="C92" s="27">
        <v>136</v>
      </c>
      <c r="D92" s="27" t="s">
        <v>21</v>
      </c>
      <c r="E92" s="27" t="s">
        <v>22</v>
      </c>
      <c r="F92" s="27" t="s">
        <v>107</v>
      </c>
      <c r="G92" s="27">
        <v>111</v>
      </c>
      <c r="H92" s="27">
        <v>1</v>
      </c>
      <c r="I92" s="27" t="s">
        <v>45</v>
      </c>
      <c r="J92" s="27">
        <v>1472</v>
      </c>
      <c r="K92" s="27" t="s">
        <v>85</v>
      </c>
      <c r="L92" s="27">
        <v>47.143000000000001</v>
      </c>
      <c r="M92" s="27">
        <v>24.632999999999999</v>
      </c>
      <c r="N92" s="27">
        <v>5.1050000000000004</v>
      </c>
      <c r="O92" s="27">
        <v>18.876000000000001</v>
      </c>
      <c r="P92" s="27">
        <v>4.63</v>
      </c>
      <c r="Q92" s="27">
        <v>13.653</v>
      </c>
      <c r="R92" s="28">
        <v>114.04</v>
      </c>
      <c r="T92">
        <f t="shared" si="14"/>
        <v>-26.885202707320488</v>
      </c>
      <c r="V92">
        <f t="shared" si="15"/>
        <v>-28.189700000000002</v>
      </c>
    </row>
    <row r="93" spans="1:22" ht="15" thickBot="1" x14ac:dyDescent="0.35">
      <c r="A93" s="29" t="s">
        <v>168</v>
      </c>
      <c r="B93" s="30" t="s">
        <v>167</v>
      </c>
      <c r="C93" s="30">
        <v>136</v>
      </c>
      <c r="D93" s="30" t="s">
        <v>21</v>
      </c>
      <c r="E93" s="30" t="s">
        <v>22</v>
      </c>
      <c r="F93" s="30" t="s">
        <v>107</v>
      </c>
      <c r="G93" s="30">
        <v>111</v>
      </c>
      <c r="H93" s="30">
        <v>1</v>
      </c>
      <c r="I93" s="30" t="s">
        <v>45</v>
      </c>
      <c r="J93" s="30">
        <v>1472</v>
      </c>
      <c r="K93" s="30" t="s">
        <v>85</v>
      </c>
      <c r="L93" s="30">
        <v>83.120999999999995</v>
      </c>
      <c r="M93" s="30">
        <v>35.664999999999999</v>
      </c>
      <c r="N93" s="30">
        <v>6.6840000000000002</v>
      </c>
      <c r="O93" s="30">
        <v>28.712</v>
      </c>
      <c r="P93" s="30">
        <v>5.3209999999999997</v>
      </c>
      <c r="Q93" s="30">
        <v>22.158000000000001</v>
      </c>
      <c r="R93" s="31">
        <v>181.661</v>
      </c>
      <c r="T93">
        <f t="shared" si="14"/>
        <v>40.735797292679507</v>
      </c>
      <c r="V93">
        <f t="shared" si="15"/>
        <v>39.431299999999993</v>
      </c>
    </row>
    <row r="94" spans="1:22" x14ac:dyDescent="0.3">
      <c r="A94" s="26" t="s">
        <v>169</v>
      </c>
      <c r="B94" s="27" t="s">
        <v>170</v>
      </c>
      <c r="C94" s="27">
        <v>250</v>
      </c>
      <c r="D94" s="27" t="s">
        <v>21</v>
      </c>
      <c r="E94" s="27" t="s">
        <v>22</v>
      </c>
      <c r="F94" s="27" t="s">
        <v>107</v>
      </c>
      <c r="G94" s="27">
        <v>127</v>
      </c>
      <c r="H94" s="27">
        <v>2</v>
      </c>
      <c r="I94" s="27" t="s">
        <v>45</v>
      </c>
      <c r="J94" s="27">
        <v>1472</v>
      </c>
      <c r="K94" s="27" t="s">
        <v>85</v>
      </c>
      <c r="L94" s="27">
        <v>68.073999999999998</v>
      </c>
      <c r="M94" s="27">
        <v>23.071999999999999</v>
      </c>
      <c r="N94" s="27">
        <v>4.6710000000000003</v>
      </c>
      <c r="O94" s="27">
        <v>19.385000000000002</v>
      </c>
      <c r="P94" s="27">
        <v>3.649</v>
      </c>
      <c r="Q94" s="27">
        <v>15.055999999999999</v>
      </c>
      <c r="R94" s="28">
        <v>133.90700000000001</v>
      </c>
      <c r="T94">
        <f t="shared" si="14"/>
        <v>-7.0182027073204836</v>
      </c>
      <c r="V94">
        <f t="shared" si="15"/>
        <v>-8.3226999999999975</v>
      </c>
    </row>
    <row r="95" spans="1:22" ht="15" thickBot="1" x14ac:dyDescent="0.35">
      <c r="A95" s="29" t="s">
        <v>171</v>
      </c>
      <c r="B95" s="30" t="s">
        <v>170</v>
      </c>
      <c r="C95" s="30">
        <v>250</v>
      </c>
      <c r="D95" s="30" t="s">
        <v>21</v>
      </c>
      <c r="E95" s="30" t="s">
        <v>22</v>
      </c>
      <c r="F95" s="30" t="s">
        <v>107</v>
      </c>
      <c r="G95" s="30">
        <v>127</v>
      </c>
      <c r="H95" s="30">
        <v>2</v>
      </c>
      <c r="I95" s="30" t="s">
        <v>45</v>
      </c>
      <c r="J95" s="30">
        <v>1472</v>
      </c>
      <c r="K95" s="30" t="s">
        <v>85</v>
      </c>
      <c r="L95" s="30">
        <v>83.938000000000002</v>
      </c>
      <c r="M95" s="30">
        <v>27.17</v>
      </c>
      <c r="N95" s="30">
        <v>5.4480000000000004</v>
      </c>
      <c r="O95" s="30">
        <v>23.213999999999999</v>
      </c>
      <c r="P95" s="30">
        <v>4.3529999999999998</v>
      </c>
      <c r="Q95" s="30">
        <v>18.228000000000002</v>
      </c>
      <c r="R95" s="31">
        <v>162.35100000000003</v>
      </c>
      <c r="T95">
        <f t="shared" si="14"/>
        <v>21.425797292679533</v>
      </c>
      <c r="V95">
        <f t="shared" si="15"/>
        <v>20.121300000000019</v>
      </c>
    </row>
    <row r="96" spans="1:22" x14ac:dyDescent="0.3">
      <c r="A96" s="26" t="s">
        <v>172</v>
      </c>
      <c r="B96" s="27" t="s">
        <v>173</v>
      </c>
      <c r="C96" s="27">
        <v>251</v>
      </c>
      <c r="D96" s="27" t="s">
        <v>21</v>
      </c>
      <c r="E96" s="27" t="s">
        <v>22</v>
      </c>
      <c r="F96" s="27" t="s">
        <v>107</v>
      </c>
      <c r="G96" s="27">
        <v>127</v>
      </c>
      <c r="H96" s="27">
        <v>2</v>
      </c>
      <c r="I96" s="27" t="s">
        <v>45</v>
      </c>
      <c r="J96" s="27">
        <v>1472</v>
      </c>
      <c r="K96" s="27" t="s">
        <v>85</v>
      </c>
      <c r="L96" s="27">
        <v>57.555999999999997</v>
      </c>
      <c r="M96" s="27">
        <v>24.103000000000002</v>
      </c>
      <c r="N96" s="27">
        <v>4.8230000000000004</v>
      </c>
      <c r="O96" s="27">
        <v>20.134</v>
      </c>
      <c r="P96" s="27">
        <v>3.8039999999999998</v>
      </c>
      <c r="Q96" s="27">
        <v>15.391</v>
      </c>
      <c r="R96" s="28">
        <v>125.81100000000001</v>
      </c>
      <c r="T96">
        <f t="shared" si="14"/>
        <v>-15.114202707320487</v>
      </c>
      <c r="V96">
        <f t="shared" si="15"/>
        <v>-16.418700000000001</v>
      </c>
    </row>
    <row r="97" spans="1:22" ht="15" thickBot="1" x14ac:dyDescent="0.35">
      <c r="A97" s="29" t="s">
        <v>174</v>
      </c>
      <c r="B97" s="30" t="s">
        <v>173</v>
      </c>
      <c r="C97" s="30">
        <v>251</v>
      </c>
      <c r="D97" s="30" t="s">
        <v>21</v>
      </c>
      <c r="E97" s="30" t="s">
        <v>22</v>
      </c>
      <c r="F97" s="30" t="s">
        <v>107</v>
      </c>
      <c r="G97" s="30">
        <v>127</v>
      </c>
      <c r="H97" s="30">
        <v>2</v>
      </c>
      <c r="I97" s="30" t="s">
        <v>45</v>
      </c>
      <c r="J97" s="30">
        <v>1472</v>
      </c>
      <c r="K97" s="30" t="s">
        <v>85</v>
      </c>
      <c r="L97" s="30">
        <v>62.165999999999997</v>
      </c>
      <c r="M97" s="30">
        <v>21.381</v>
      </c>
      <c r="N97" s="30">
        <v>4.0490000000000004</v>
      </c>
      <c r="O97" s="30">
        <v>17.481000000000002</v>
      </c>
      <c r="P97" s="30">
        <v>3.1709999999999998</v>
      </c>
      <c r="Q97" s="30">
        <v>13.195</v>
      </c>
      <c r="R97" s="31">
        <v>121.44300000000001</v>
      </c>
      <c r="T97">
        <f t="shared" si="14"/>
        <v>-19.482202707320482</v>
      </c>
      <c r="V97">
        <f t="shared" si="15"/>
        <v>-20.786699999999996</v>
      </c>
    </row>
    <row r="98" spans="1:22" x14ac:dyDescent="0.3">
      <c r="A98" s="26" t="s">
        <v>175</v>
      </c>
      <c r="B98" s="27" t="s">
        <v>176</v>
      </c>
      <c r="C98" s="27">
        <v>438</v>
      </c>
      <c r="D98" s="27" t="s">
        <v>21</v>
      </c>
      <c r="E98" s="27" t="s">
        <v>22</v>
      </c>
      <c r="F98" s="27" t="s">
        <v>107</v>
      </c>
      <c r="G98" s="27">
        <v>116</v>
      </c>
      <c r="H98" s="27">
        <v>4</v>
      </c>
      <c r="I98" s="27" t="s">
        <v>45</v>
      </c>
      <c r="J98" s="27">
        <v>1472</v>
      </c>
      <c r="K98" s="27" t="s">
        <v>85</v>
      </c>
      <c r="L98" s="27">
        <v>66.707999999999998</v>
      </c>
      <c r="M98" s="27">
        <v>30.391999999999999</v>
      </c>
      <c r="N98" s="27">
        <v>6.2750000000000004</v>
      </c>
      <c r="O98" s="27">
        <v>24.988</v>
      </c>
      <c r="P98" s="27">
        <v>5.0789999999999997</v>
      </c>
      <c r="Q98" s="27">
        <v>20.805</v>
      </c>
      <c r="R98" s="28">
        <v>154.24700000000001</v>
      </c>
      <c r="T98">
        <f t="shared" si="14"/>
        <v>13.32179729267952</v>
      </c>
      <c r="V98">
        <f t="shared" si="15"/>
        <v>12.017300000000006</v>
      </c>
    </row>
    <row r="99" spans="1:22" ht="15" thickBot="1" x14ac:dyDescent="0.35">
      <c r="A99" s="29" t="s">
        <v>177</v>
      </c>
      <c r="B99" s="30" t="s">
        <v>176</v>
      </c>
      <c r="C99" s="30">
        <v>438</v>
      </c>
      <c r="D99" s="30" t="s">
        <v>21</v>
      </c>
      <c r="E99" s="30" t="s">
        <v>22</v>
      </c>
      <c r="F99" s="30" t="s">
        <v>107</v>
      </c>
      <c r="G99" s="30">
        <v>116</v>
      </c>
      <c r="H99" s="30">
        <v>4</v>
      </c>
      <c r="I99" s="30" t="s">
        <v>45</v>
      </c>
      <c r="J99" s="30">
        <v>1472</v>
      </c>
      <c r="K99" s="30" t="s">
        <v>85</v>
      </c>
      <c r="L99" s="30">
        <v>64.975999999999999</v>
      </c>
      <c r="M99" s="30">
        <v>25.524000000000001</v>
      </c>
      <c r="N99" s="30">
        <v>4.91</v>
      </c>
      <c r="O99" s="30">
        <v>19.940000000000001</v>
      </c>
      <c r="P99" s="30">
        <v>3.8969999999999998</v>
      </c>
      <c r="Q99" s="30">
        <v>17.154</v>
      </c>
      <c r="R99" s="31">
        <v>136.40100000000001</v>
      </c>
      <c r="T99">
        <f t="shared" si="14"/>
        <v>-4.5242027073204838</v>
      </c>
      <c r="V99">
        <f t="shared" si="15"/>
        <v>-5.8286999999999978</v>
      </c>
    </row>
    <row r="100" spans="1:22" x14ac:dyDescent="0.3">
      <c r="A100" s="26" t="s">
        <v>178</v>
      </c>
      <c r="B100" s="27" t="s">
        <v>179</v>
      </c>
      <c r="C100" s="27">
        <v>507</v>
      </c>
      <c r="D100" s="27" t="s">
        <v>21</v>
      </c>
      <c r="E100" s="27" t="s">
        <v>22</v>
      </c>
      <c r="F100" s="27" t="s">
        <v>107</v>
      </c>
      <c r="G100" s="27">
        <v>130</v>
      </c>
      <c r="H100" s="27">
        <v>5</v>
      </c>
      <c r="I100" s="27" t="s">
        <v>45</v>
      </c>
      <c r="J100" s="27">
        <v>1472</v>
      </c>
      <c r="K100" s="27" t="s">
        <v>85</v>
      </c>
      <c r="L100" s="27">
        <v>66.710999999999999</v>
      </c>
      <c r="M100" s="27">
        <v>26.004999999999999</v>
      </c>
      <c r="N100" s="27">
        <v>5.1509999999999998</v>
      </c>
      <c r="O100" s="27">
        <v>21.687999999999999</v>
      </c>
      <c r="P100" s="27">
        <v>4.0730000000000004</v>
      </c>
      <c r="Q100" s="27">
        <v>16.248999999999999</v>
      </c>
      <c r="R100" s="28">
        <v>139.87699999999998</v>
      </c>
      <c r="T100">
        <f t="shared" si="14"/>
        <v>-1.0482027073205131</v>
      </c>
      <c r="V100">
        <f t="shared" si="15"/>
        <v>-2.3527000000000271</v>
      </c>
    </row>
    <row r="101" spans="1:22" ht="15" thickBot="1" x14ac:dyDescent="0.35">
      <c r="A101" s="29" t="s">
        <v>180</v>
      </c>
      <c r="B101" s="30" t="s">
        <v>179</v>
      </c>
      <c r="C101" s="30">
        <v>507</v>
      </c>
      <c r="D101" s="30" t="s">
        <v>21</v>
      </c>
      <c r="E101" s="30" t="s">
        <v>22</v>
      </c>
      <c r="F101" s="30" t="s">
        <v>107</v>
      </c>
      <c r="G101" s="30">
        <v>130</v>
      </c>
      <c r="H101" s="30">
        <v>5</v>
      </c>
      <c r="I101" s="30" t="s">
        <v>45</v>
      </c>
      <c r="J101" s="30">
        <v>1472</v>
      </c>
      <c r="K101" s="30" t="s">
        <v>85</v>
      </c>
      <c r="L101" s="30">
        <v>76.617999999999995</v>
      </c>
      <c r="M101" s="30">
        <v>27.318000000000001</v>
      </c>
      <c r="N101" s="30">
        <v>5.1740000000000004</v>
      </c>
      <c r="O101" s="30">
        <v>22.452000000000002</v>
      </c>
      <c r="P101" s="30">
        <v>4.1539999999999999</v>
      </c>
      <c r="Q101" s="30">
        <v>16.843</v>
      </c>
      <c r="R101" s="31">
        <v>152.559</v>
      </c>
      <c r="T101">
        <f t="shared" si="14"/>
        <v>11.633797292679503</v>
      </c>
      <c r="V101">
        <f t="shared" si="15"/>
        <v>10.329299999999989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Wk5</vt:lpstr>
      <vt:lpstr>Wk12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 CuestaMarti</dc:creator>
  <cp:lastModifiedBy>Cristina CuestaMarti</cp:lastModifiedBy>
  <dcterms:created xsi:type="dcterms:W3CDTF">2025-09-15T11:56:39Z</dcterms:created>
  <dcterms:modified xsi:type="dcterms:W3CDTF">2025-09-15T12:07:07Z</dcterms:modified>
</cp:coreProperties>
</file>